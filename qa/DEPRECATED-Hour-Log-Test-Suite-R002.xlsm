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filterPrivacy="1" defaultThemeVersion="124226"/>
  <bookViews>
    <workbookView xWindow="240" yWindow="105" windowWidth="14805" windowHeight="8010" tabRatio="807" firstSheet="15" activeTab="41"/>
  </bookViews>
  <sheets>
    <sheet name="Cover Page" sheetId="56" r:id="rId1"/>
    <sheet name="Revision History" sheetId="55" r:id="rId2"/>
    <sheet name="Summary" sheetId="51" r:id="rId3"/>
    <sheet name="ACT-01" sheetId="11" r:id="rId4"/>
    <sheet name="ACT-02" sheetId="14" r:id="rId5"/>
    <sheet name="ACT-03" sheetId="2" r:id="rId6"/>
    <sheet name="ACT-04" sheetId="16" r:id="rId7"/>
    <sheet name="ACT-05" sheetId="17" r:id="rId8"/>
    <sheet name="ACT-06" sheetId="18" r:id="rId9"/>
    <sheet name="ACT-07" sheetId="19" r:id="rId10"/>
    <sheet name="ACT-08" sheetId="20" r:id="rId11"/>
    <sheet name="ACT-09" sheetId="21" r:id="rId12"/>
    <sheet name="ACT-10" sheetId="22" r:id="rId13"/>
    <sheet name="ACT-11" sheetId="23" r:id="rId14"/>
    <sheet name="ACT-12" sheetId="54" r:id="rId15"/>
    <sheet name="NTS-01" sheetId="32" r:id="rId16"/>
    <sheet name="NTS-02" sheetId="33" r:id="rId17"/>
    <sheet name="SFT-01" sheetId="12" r:id="rId18"/>
    <sheet name="LNK-01" sheetId="25" r:id="rId19"/>
    <sheet name="CAC-01" sheetId="26" r:id="rId20"/>
    <sheet name="CAC-02" sheetId="27" r:id="rId21"/>
    <sheet name="CAC-03" sheetId="28" r:id="rId22"/>
    <sheet name="REP-01" sheetId="29" r:id="rId23"/>
    <sheet name="REP-02" sheetId="30" r:id="rId24"/>
    <sheet name="REP-03" sheetId="31" r:id="rId25"/>
    <sheet name="REP-04" sheetId="41" r:id="rId26"/>
    <sheet name="ADM-01" sheetId="37" r:id="rId27"/>
    <sheet name="ADM-02" sheetId="38" r:id="rId28"/>
    <sheet name="ADM-03" sheetId="39" r:id="rId29"/>
    <sheet name="ADM-04" sheetId="40" r:id="rId30"/>
    <sheet name="PRF-01" sheetId="34" r:id="rId31"/>
    <sheet name="PRF-02" sheetId="35" r:id="rId32"/>
    <sheet name="HLP-01" sheetId="36" r:id="rId33"/>
    <sheet name="API-01" sheetId="45" r:id="rId34"/>
    <sheet name="API-02" sheetId="46" r:id="rId35"/>
    <sheet name="API-03" sheetId="47" r:id="rId36"/>
    <sheet name="API-04" sheetId="48" r:id="rId37"/>
    <sheet name="SEC-01" sheetId="43" r:id="rId38"/>
    <sheet name="SEC-02" sheetId="44" r:id="rId39"/>
    <sheet name="PER-01" sheetId="49" r:id="rId40"/>
    <sheet name="PER-02" sheetId="50" r:id="rId41"/>
    <sheet name="DEF-02" sheetId="57" r:id="rId42"/>
    <sheet name="DEF-01" sheetId="42" r:id="rId43"/>
    <sheet name="CNF-01" sheetId="53" r:id="rId44"/>
  </sheets>
  <externalReferences>
    <externalReference r:id="rId45"/>
  </externalReferences>
  <definedNames>
    <definedName name="_Toc317087943" localSheetId="1">'Revision History'!$A$10</definedName>
    <definedName name="_Toc317087944" localSheetId="1">'Revision History'!$A$12</definedName>
    <definedName name="_Toc317087945" localSheetId="1">'Revision History'!$A$14</definedName>
    <definedName name="AllSheets">RIGHT(GET.WORKBOOK(1),LEN(GET.WORKBOOK(1))-FIND("]",GET.WORKBOOK(1)))</definedName>
    <definedName name="TestResult" localSheetId="0">[1]Summary!$A$2:$A$3</definedName>
    <definedName name="TestResult" localSheetId="1">[1]Summary!$A$2:$A$3</definedName>
    <definedName name="TestResult">Summary!$A$3:$A$4</definedName>
  </definedNames>
  <calcPr calcId="152511"/>
</workbook>
</file>

<file path=xl/calcChain.xml><?xml version="1.0" encoding="utf-8"?>
<calcChain xmlns="http://schemas.openxmlformats.org/spreadsheetml/2006/main">
  <c r="D5" i="51" l="1"/>
  <c r="D9" i="51"/>
  <c r="D19" i="51"/>
  <c r="D27" i="51"/>
  <c r="D36" i="51"/>
  <c r="D30" i="51"/>
  <c r="D35" i="51"/>
  <c r="D49" i="51"/>
  <c r="D48" i="51"/>
  <c r="D25" i="51"/>
  <c r="D15" i="51"/>
  <c r="D4" i="51"/>
  <c r="D37" i="51"/>
  <c r="D11" i="51"/>
  <c r="D23" i="51"/>
  <c r="D20" i="51"/>
  <c r="D41" i="51"/>
  <c r="D34" i="51"/>
  <c r="D32" i="51"/>
  <c r="D16" i="51"/>
  <c r="D12" i="51"/>
  <c r="D22" i="51"/>
  <c r="D13" i="51"/>
  <c r="D47" i="51"/>
  <c r="D31" i="51"/>
  <c r="D42" i="51"/>
  <c r="D24" i="51"/>
  <c r="D26" i="51"/>
  <c r="D43" i="51"/>
  <c r="D40" i="51"/>
  <c r="D17" i="51"/>
  <c r="D8" i="51"/>
  <c r="D33" i="51"/>
  <c r="D38" i="51"/>
  <c r="D18" i="51"/>
  <c r="D44" i="51"/>
  <c r="D28" i="51"/>
  <c r="D10" i="51"/>
  <c r="D14" i="51"/>
  <c r="D7" i="51"/>
  <c r="D29" i="51"/>
  <c r="D45" i="51"/>
  <c r="D46" i="51"/>
  <c r="D21" i="51"/>
  <c r="D39" i="51"/>
  <c r="D6" i="51"/>
  <c r="J46" i="51" l="1"/>
  <c r="K46" i="51"/>
  <c r="H46" i="51"/>
  <c r="L46" i="51"/>
  <c r="I46" i="51"/>
  <c r="F46" i="51"/>
  <c r="E46" i="51"/>
  <c r="G46" i="51"/>
  <c r="G45" i="51"/>
  <c r="K45" i="51"/>
  <c r="J45" i="51"/>
  <c r="E45" i="51"/>
  <c r="F45" i="51"/>
  <c r="L45" i="51"/>
  <c r="H45" i="51"/>
  <c r="I45" i="51"/>
  <c r="F47" i="51"/>
  <c r="E47" i="51"/>
  <c r="I47" i="51"/>
  <c r="H47" i="51"/>
  <c r="J47" i="51"/>
  <c r="K47" i="51"/>
  <c r="G47" i="51"/>
  <c r="L47" i="51"/>
  <c r="I48" i="51"/>
  <c r="K48" i="51"/>
  <c r="J48" i="51"/>
  <c r="L48" i="51"/>
  <c r="H48" i="51"/>
  <c r="F48" i="51"/>
  <c r="E48" i="51"/>
  <c r="G48" i="51"/>
  <c r="F49" i="51"/>
  <c r="J49" i="51"/>
  <c r="I49" i="51"/>
  <c r="H49" i="51"/>
  <c r="G49" i="51"/>
  <c r="E49" i="51"/>
  <c r="L49" i="51"/>
  <c r="K49" i="51"/>
  <c r="I44" i="51"/>
  <c r="H44" i="51"/>
  <c r="F44" i="51"/>
  <c r="K44" i="51"/>
  <c r="G44" i="51"/>
  <c r="L44" i="51"/>
  <c r="E44" i="51"/>
  <c r="J44" i="51"/>
  <c r="I6" i="51"/>
  <c r="I39" i="51"/>
  <c r="G7" i="51"/>
  <c r="J14" i="51"/>
  <c r="L28" i="51"/>
  <c r="G38" i="51"/>
  <c r="I33" i="51"/>
  <c r="L17" i="51"/>
  <c r="K40" i="51"/>
  <c r="E26" i="51"/>
  <c r="H24" i="51"/>
  <c r="G31" i="51"/>
  <c r="F22" i="51"/>
  <c r="H12" i="51"/>
  <c r="L32" i="51"/>
  <c r="G34" i="51"/>
  <c r="E20" i="51"/>
  <c r="H23" i="51"/>
  <c r="E37" i="51"/>
  <c r="G4" i="51"/>
  <c r="F25" i="51"/>
  <c r="F35" i="51"/>
  <c r="G30" i="51"/>
  <c r="G27" i="51"/>
  <c r="G19" i="51"/>
  <c r="E5" i="51"/>
  <c r="F14" i="51"/>
  <c r="I28" i="51"/>
  <c r="L38" i="51"/>
  <c r="G33" i="51"/>
  <c r="H40" i="51"/>
  <c r="J26" i="51"/>
  <c r="H31" i="51"/>
  <c r="I22" i="51"/>
  <c r="G12" i="51"/>
  <c r="H34" i="51"/>
  <c r="I20" i="51"/>
  <c r="F37" i="51"/>
  <c r="K25" i="51"/>
  <c r="K35" i="51"/>
  <c r="E27" i="51"/>
  <c r="E19" i="51"/>
  <c r="J31" i="51"/>
  <c r="H20" i="51"/>
  <c r="J37" i="51"/>
  <c r="H9" i="51"/>
  <c r="J6" i="51"/>
  <c r="K7" i="51"/>
  <c r="J18" i="51"/>
  <c r="G17" i="51"/>
  <c r="I31" i="51"/>
  <c r="H32" i="51"/>
  <c r="I37" i="51"/>
  <c r="H5" i="51"/>
  <c r="E18" i="51"/>
  <c r="I17" i="51"/>
  <c r="F31" i="51"/>
  <c r="K41" i="51"/>
  <c r="G37" i="51"/>
  <c r="I35" i="51"/>
  <c r="E6" i="51"/>
  <c r="F10" i="51"/>
  <c r="F18" i="51"/>
  <c r="H43" i="51"/>
  <c r="J22" i="51"/>
  <c r="K20" i="51"/>
  <c r="J5" i="51"/>
  <c r="E33" i="51"/>
  <c r="L24" i="51"/>
  <c r="J12" i="51"/>
  <c r="K11" i="51"/>
  <c r="J9" i="51"/>
  <c r="H29" i="51"/>
  <c r="I18" i="51"/>
  <c r="I43" i="51"/>
  <c r="I34" i="51"/>
  <c r="H11" i="51"/>
  <c r="F30" i="51"/>
  <c r="L6" i="51"/>
  <c r="E39" i="51"/>
  <c r="F7" i="51"/>
  <c r="E17" i="51"/>
  <c r="J24" i="51"/>
  <c r="K32" i="51"/>
  <c r="G23" i="51"/>
  <c r="I4" i="51"/>
  <c r="L30" i="51"/>
  <c r="F5" i="51"/>
  <c r="H16" i="51"/>
  <c r="I15" i="51"/>
  <c r="H36" i="51"/>
  <c r="I21" i="51"/>
  <c r="K28" i="51"/>
  <c r="J43" i="51"/>
  <c r="G22" i="51"/>
  <c r="I11" i="51"/>
  <c r="K36" i="51"/>
  <c r="L21" i="51"/>
  <c r="H28" i="51"/>
  <c r="G26" i="51"/>
  <c r="L16" i="51"/>
  <c r="K15" i="51"/>
  <c r="L27" i="51"/>
  <c r="G29" i="51"/>
  <c r="J17" i="51"/>
  <c r="L31" i="51"/>
  <c r="G41" i="51"/>
  <c r="J35" i="51"/>
  <c r="J39" i="51"/>
  <c r="G18" i="51"/>
  <c r="L41" i="51"/>
  <c r="G15" i="51"/>
  <c r="J19" i="51"/>
  <c r="H14" i="51"/>
  <c r="H8" i="51"/>
  <c r="F12" i="51"/>
  <c r="L4" i="51"/>
  <c r="L19" i="51"/>
  <c r="F6" i="51"/>
  <c r="H39" i="51"/>
  <c r="H7" i="51"/>
  <c r="L14" i="51"/>
  <c r="F28" i="51"/>
  <c r="H38" i="51"/>
  <c r="J33" i="51"/>
  <c r="H17" i="51"/>
  <c r="E40" i="51"/>
  <c r="F26" i="51"/>
  <c r="K24" i="51"/>
  <c r="E31" i="51"/>
  <c r="H22" i="51"/>
  <c r="I12" i="51"/>
  <c r="G32" i="51"/>
  <c r="J34" i="51"/>
  <c r="L20" i="51"/>
  <c r="E23" i="51"/>
  <c r="H37" i="51"/>
  <c r="H4" i="51"/>
  <c r="E25" i="51"/>
  <c r="L35" i="51"/>
  <c r="I30" i="51"/>
  <c r="F27" i="51"/>
  <c r="I19" i="51"/>
  <c r="G5" i="51"/>
  <c r="G6" i="51"/>
  <c r="I7" i="51"/>
  <c r="J28" i="51"/>
  <c r="F38" i="51"/>
  <c r="K17" i="51"/>
  <c r="H26" i="51"/>
  <c r="K13" i="51"/>
  <c r="I32" i="51"/>
  <c r="F11" i="51"/>
  <c r="E35" i="51"/>
  <c r="K5" i="51"/>
  <c r="F29" i="51"/>
  <c r="E8" i="51"/>
  <c r="H13" i="51"/>
  <c r="F20" i="51"/>
  <c r="I27" i="51"/>
  <c r="I29" i="51"/>
  <c r="L8" i="51"/>
  <c r="I13" i="51"/>
  <c r="G25" i="51"/>
  <c r="I5" i="51"/>
  <c r="E7" i="51"/>
  <c r="J38" i="51"/>
  <c r="I42" i="51"/>
  <c r="J32" i="51"/>
  <c r="L15" i="51"/>
  <c r="K27" i="51"/>
  <c r="E14" i="51"/>
  <c r="E43" i="51"/>
  <c r="F16" i="51"/>
  <c r="L39" i="51"/>
  <c r="K10" i="51"/>
  <c r="G24" i="51"/>
  <c r="K16" i="51"/>
  <c r="G9" i="51"/>
  <c r="H6" i="51"/>
  <c r="K39" i="51"/>
  <c r="L7" i="51"/>
  <c r="K14" i="51"/>
  <c r="E28" i="51"/>
  <c r="E38" i="51"/>
  <c r="K33" i="51"/>
  <c r="F17" i="51"/>
  <c r="G40" i="51"/>
  <c r="K26" i="51"/>
  <c r="I24" i="51"/>
  <c r="K31" i="51"/>
  <c r="L22" i="51"/>
  <c r="K12" i="51"/>
  <c r="E32" i="51"/>
  <c r="F34" i="51"/>
  <c r="J20" i="51"/>
  <c r="J23" i="51"/>
  <c r="K37" i="51"/>
  <c r="F4" i="51"/>
  <c r="J25" i="51"/>
  <c r="H35" i="51"/>
  <c r="K30" i="51"/>
  <c r="H27" i="51"/>
  <c r="H19" i="51"/>
  <c r="L5" i="51"/>
  <c r="F21" i="51"/>
  <c r="K29" i="51"/>
  <c r="J10" i="51"/>
  <c r="L18" i="51"/>
  <c r="G8" i="51"/>
  <c r="G43" i="51"/>
  <c r="G42" i="51"/>
  <c r="K22" i="51"/>
  <c r="E41" i="51"/>
  <c r="L25" i="51"/>
  <c r="J27" i="51"/>
  <c r="K38" i="51"/>
  <c r="E42" i="51"/>
  <c r="F41" i="51"/>
  <c r="H25" i="51"/>
  <c r="F9" i="51"/>
  <c r="J7" i="51"/>
  <c r="L43" i="51"/>
  <c r="E22" i="51"/>
  <c r="E11" i="51"/>
  <c r="G36" i="51"/>
  <c r="F8" i="51"/>
  <c r="G13" i="51"/>
  <c r="L37" i="51"/>
  <c r="L9" i="51"/>
  <c r="E29" i="51"/>
  <c r="K8" i="51"/>
  <c r="L13" i="51"/>
  <c r="F23" i="51"/>
  <c r="E36" i="51"/>
  <c r="H33" i="51"/>
  <c r="J13" i="51"/>
  <c r="K23" i="51"/>
  <c r="L36" i="51"/>
  <c r="G39" i="51"/>
  <c r="G21" i="51"/>
  <c r="J29" i="51"/>
  <c r="G14" i="51"/>
  <c r="E10" i="51"/>
  <c r="H18" i="51"/>
  <c r="L33" i="51"/>
  <c r="J8" i="51"/>
  <c r="J40" i="51"/>
  <c r="K43" i="51"/>
  <c r="F24" i="51"/>
  <c r="J42" i="51"/>
  <c r="F13" i="51"/>
  <c r="L12" i="51"/>
  <c r="G16" i="51"/>
  <c r="L34" i="51"/>
  <c r="H41" i="51"/>
  <c r="L23" i="51"/>
  <c r="L11" i="51"/>
  <c r="J4" i="51"/>
  <c r="H15" i="51"/>
  <c r="J30" i="51"/>
  <c r="I36" i="51"/>
  <c r="K19" i="51"/>
  <c r="E9" i="51"/>
  <c r="F39" i="51"/>
  <c r="H21" i="51"/>
  <c r="L29" i="51"/>
  <c r="I14" i="51"/>
  <c r="H10" i="51"/>
  <c r="K18" i="51"/>
  <c r="F33" i="51"/>
  <c r="I8" i="51"/>
  <c r="F40" i="51"/>
  <c r="F43" i="51"/>
  <c r="E24" i="51"/>
  <c r="F42" i="51"/>
  <c r="E13" i="51"/>
  <c r="E12" i="51"/>
  <c r="J16" i="51"/>
  <c r="E34" i="51"/>
  <c r="I41" i="51"/>
  <c r="I23" i="51"/>
  <c r="G11" i="51"/>
  <c r="K4" i="51"/>
  <c r="E15" i="51"/>
  <c r="H30" i="51"/>
  <c r="F36" i="51"/>
  <c r="F19" i="51"/>
  <c r="K9" i="51"/>
  <c r="L10" i="51"/>
  <c r="L26" i="51"/>
  <c r="I16" i="51"/>
  <c r="J15" i="51"/>
  <c r="G35" i="51"/>
  <c r="K6" i="51"/>
  <c r="G10" i="51"/>
  <c r="I38" i="51"/>
  <c r="K42" i="51"/>
  <c r="F32" i="51"/>
  <c r="G20" i="51"/>
  <c r="I9" i="51"/>
  <c r="E21" i="51"/>
  <c r="G28" i="51"/>
  <c r="I26" i="51"/>
  <c r="E16" i="51"/>
  <c r="J11" i="51"/>
  <c r="I25" i="51"/>
  <c r="J36" i="51"/>
  <c r="J21" i="51"/>
  <c r="I10" i="51"/>
  <c r="L40" i="51"/>
  <c r="H42" i="51"/>
  <c r="K34" i="51"/>
  <c r="E4" i="51"/>
  <c r="E30" i="51"/>
  <c r="K21" i="51"/>
  <c r="I40" i="51"/>
  <c r="L42" i="51"/>
  <c r="J41" i="51"/>
  <c r="F15" i="51"/>
</calcChain>
</file>

<file path=xl/sharedStrings.xml><?xml version="1.0" encoding="utf-8"?>
<sst xmlns="http://schemas.openxmlformats.org/spreadsheetml/2006/main" count="2333" uniqueCount="626">
  <si>
    <t>Project</t>
  </si>
  <si>
    <t>Test Case #</t>
  </si>
  <si>
    <t>Test Case Name</t>
  </si>
  <si>
    <t>System</t>
  </si>
  <si>
    <t>Subsystem</t>
  </si>
  <si>
    <t>Designed By</t>
  </si>
  <si>
    <t>Design Date</t>
  </si>
  <si>
    <t>Excuted By</t>
  </si>
  <si>
    <t>Exec Date</t>
  </si>
  <si>
    <t>Pre-Condition</t>
  </si>
  <si>
    <t>Step</t>
  </si>
  <si>
    <t>Action</t>
  </si>
  <si>
    <t>Expected Response</t>
  </si>
  <si>
    <t>Result</t>
  </si>
  <si>
    <t>Comments</t>
  </si>
  <si>
    <t>Post-Condition</t>
  </si>
  <si>
    <t>Hour Log</t>
  </si>
  <si>
    <t>Category</t>
  </si>
  <si>
    <t>Name</t>
  </si>
  <si>
    <t>Browse Log</t>
  </si>
  <si>
    <t>Create Log</t>
  </si>
  <si>
    <t>Shift</t>
  </si>
  <si>
    <t>Breakdown Report</t>
  </si>
  <si>
    <t>Experiment Report</t>
  </si>
  <si>
    <t>Notes</t>
  </si>
  <si>
    <t>Browse Notes</t>
  </si>
  <si>
    <t>Search Notes</t>
  </si>
  <si>
    <t>Links</t>
  </si>
  <si>
    <t>API</t>
  </si>
  <si>
    <t>ACT-01</t>
  </si>
  <si>
    <t>ACT-02</t>
  </si>
  <si>
    <t>ACT-03</t>
  </si>
  <si>
    <t>SFT-01</t>
  </si>
  <si>
    <t>REP-01</t>
  </si>
  <si>
    <t>REP-02</t>
  </si>
  <si>
    <t>REP-03</t>
  </si>
  <si>
    <t>NTS-01</t>
  </si>
  <si>
    <t>NTS-02</t>
  </si>
  <si>
    <t>LNK-01</t>
  </si>
  <si>
    <t>API-01</t>
  </si>
  <si>
    <t>Admin</t>
  </si>
  <si>
    <t>ADM-01</t>
  </si>
  <si>
    <t>ADM-02</t>
  </si>
  <si>
    <t>ADM-03</t>
  </si>
  <si>
    <t>ADM-04</t>
  </si>
  <si>
    <t>Trouble Reports</t>
  </si>
  <si>
    <t>Update Shift</t>
  </si>
  <si>
    <t>ACT-04</t>
  </si>
  <si>
    <t>ACT-05</t>
  </si>
  <si>
    <t>ACT-06</t>
  </si>
  <si>
    <t>Backdate Log</t>
  </si>
  <si>
    <t>ACT-08</t>
  </si>
  <si>
    <t>ACT-09</t>
  </si>
  <si>
    <t>ACT-10</t>
  </si>
  <si>
    <t>API-02</t>
  </si>
  <si>
    <t>Security</t>
  </si>
  <si>
    <t>Help</t>
  </si>
  <si>
    <t>HLP-01</t>
  </si>
  <si>
    <t>ACT-11</t>
  </si>
  <si>
    <t>PER-01</t>
  </si>
  <si>
    <t>Performance</t>
  </si>
  <si>
    <t>Op Log</t>
  </si>
  <si>
    <t>VV</t>
  </si>
  <si>
    <t>The operations log page on the test server is open in a browser</t>
  </si>
  <si>
    <t>Check if log entries are visible</t>
  </si>
  <si>
    <t>Browse to different pages by clicking on the page button</t>
  </si>
  <si>
    <t>Log entries pertaining to the page are displayed</t>
  </si>
  <si>
    <t>Click on an attached document of a log entry</t>
  </si>
  <si>
    <t>Document is downloaded</t>
  </si>
  <si>
    <t>Click on an Trouble Report link</t>
  </si>
  <si>
    <t>TR page or Intra Enterprise Login page is opened in another tab</t>
  </si>
  <si>
    <t>Accurate beam and shift information is displayed in an overlay</t>
  </si>
  <si>
    <t>Click on History icon of a log entry</t>
  </si>
  <si>
    <t>Check shift information by hovering over shift icon of a log entry</t>
  </si>
  <si>
    <t xml:space="preserve">History for the entry is displayed in a popup window. Entry and occurrence times are valid. Chnages in other columns are highlighted. </t>
  </si>
  <si>
    <t xml:space="preserve">Log entries are displayed. Occurrence times and author are valid. Changes in  columns (Exp, Sum, etc) are highlighted. </t>
  </si>
  <si>
    <t>Check if changes in Beams and Experiments are displayed in the Notes column</t>
  </si>
  <si>
    <t xml:space="preserve">Changes in beams and experiments are highlighted </t>
  </si>
  <si>
    <t>Repeat above steps  with different browsers</t>
  </si>
  <si>
    <t xml:space="preserve">Check for color coding of Summary status (Sum column) </t>
  </si>
  <si>
    <t>Status</t>
  </si>
  <si>
    <t>Code</t>
  </si>
  <si>
    <t>Color</t>
  </si>
  <si>
    <t>Scheduled Off</t>
  </si>
  <si>
    <t>SOF</t>
  </si>
  <si>
    <t>#333333</t>
  </si>
  <si>
    <t>Unscheduled Off</t>
  </si>
  <si>
    <t>UOF</t>
  </si>
  <si>
    <t>#ff0000</t>
  </si>
  <si>
    <t>Primary Beam Developemnt</t>
  </si>
  <si>
    <t>PDT</t>
  </si>
  <si>
    <t>#eeaa00</t>
  </si>
  <si>
    <t>Secondary Beam Development</t>
  </si>
  <si>
    <t>SDT</t>
  </si>
  <si>
    <t>#ddcc00</t>
  </si>
  <si>
    <t>Ion Source Development</t>
  </si>
  <si>
    <t>IDT</t>
  </si>
  <si>
    <t>Experiment Running</t>
  </si>
  <si>
    <t>EXR</t>
  </si>
  <si>
    <t>#33aa00</t>
  </si>
  <si>
    <t>Experimental Device Tuning</t>
  </si>
  <si>
    <t>XDT</t>
  </si>
  <si>
    <t>#66aa88</t>
  </si>
  <si>
    <t>Summary status is color coded as per the table below</t>
  </si>
  <si>
    <t>None</t>
  </si>
  <si>
    <t>Login</t>
  </si>
  <si>
    <t>Click on Login button</t>
  </si>
  <si>
    <t>Login dialog box will open</t>
  </si>
  <si>
    <t>Enter your user name and wrong password</t>
  </si>
  <si>
    <t>Error message will be displayed. Login dialog will remain in place.</t>
  </si>
  <si>
    <t>Enter wrong user name and wrong password</t>
  </si>
  <si>
    <t>Enter your user name and correct password</t>
  </si>
  <si>
    <t>Welcome message is displayed. The curretnt page is refreshed.</t>
  </si>
  <si>
    <t>Welcome message is displayed. Log entry controls are  enabled.</t>
  </si>
  <si>
    <t>Click on the login button and log into the system</t>
  </si>
  <si>
    <t>Type in a test message in the notes input area, and then click submit button.</t>
  </si>
  <si>
    <t>A message is displayed indicating the log entry was made. The new entry is displayed in the log table.</t>
  </si>
  <si>
    <t>Click on submit button without entering any message.</t>
  </si>
  <si>
    <t>An error message is displayed.</t>
  </si>
  <si>
    <t>Click on 'Docs' button to attach a document, or drag-n-drop the document on 'Docs' area.</t>
  </si>
  <si>
    <t>Attach multiple documents.</t>
  </si>
  <si>
    <t>Multiple documents are uploaded</t>
  </si>
  <si>
    <t>Document is uploaded</t>
  </si>
  <si>
    <t>Delete some of the documents</t>
  </si>
  <si>
    <t>Documents are removed</t>
  </si>
  <si>
    <t>Click on 'TR' button</t>
  </si>
  <si>
    <t>TR window pops up.</t>
  </si>
  <si>
    <t>Click on a TR, and enter 'Save'</t>
  </si>
  <si>
    <t>TR is attached</t>
  </si>
  <si>
    <t>Attach more TRs</t>
  </si>
  <si>
    <t>TRs are attached</t>
  </si>
  <si>
    <t>Remove some TRs</t>
  </si>
  <si>
    <t>TRs are removed</t>
  </si>
  <si>
    <t>Type a test message, and click on Submit Btton</t>
  </si>
  <si>
    <t>Log entry with docs and TRs is made.</t>
  </si>
  <si>
    <t>Click on the doc link in the new log entry.</t>
  </si>
  <si>
    <t>The document is downloaded.</t>
  </si>
  <si>
    <t>Click on the TR link in the new entry</t>
  </si>
  <si>
    <t>TR page or Intra Enterprise login is displayed</t>
  </si>
  <si>
    <t>Log entry is created</t>
  </si>
  <si>
    <t>Edit  Log</t>
  </si>
  <si>
    <t xml:space="preserve">Welcome message is displayed. </t>
  </si>
  <si>
    <t>Click on the edit link (Hours:Minutes) of a log entry. If there are no editable log entries, create new one.</t>
  </si>
  <si>
    <t>Type a test message, and click on Save Btton</t>
  </si>
  <si>
    <t>Click on Save button without entering any message.</t>
  </si>
  <si>
    <t>Type in a test message in the notes input area, and then click Save button.</t>
  </si>
  <si>
    <t>Click on the History icon for the entry.</t>
  </si>
  <si>
    <t>The recent edit(s) are displayed in the History window</t>
  </si>
  <si>
    <t>Change Status</t>
  </si>
  <si>
    <t>Click on 'unlock' button to change status</t>
  </si>
  <si>
    <t>Facility Status Controls are enabled.</t>
  </si>
  <si>
    <t>Welcome message is displayed. Facility Status Controls (Beams, Mode, Source etc) are disabled.</t>
  </si>
  <si>
    <t>Change facility status: Beams, Mode, Vault, Summary, Experiment, Breakdowns, and their combinations.</t>
  </si>
  <si>
    <t>Type in a test message in the notes input area, and then click Submit button.</t>
  </si>
  <si>
    <t>Change facility status, attach documents and TRs, add a note. Submit.</t>
  </si>
  <si>
    <t>Log entry with docs and TRs is made. Facility status is changed.</t>
  </si>
  <si>
    <t>Edit  Status</t>
  </si>
  <si>
    <t>Click on the edit link (Hours:Minutes) of a plain log entry i.e. that does not change facility status. If there are no editable log entries, create new one.</t>
  </si>
  <si>
    <t xml:space="preserve">The Log  Edit Window is displayed. </t>
  </si>
  <si>
    <t>A message is displayed indicating the log entry was made. The new entry is displayed in the log table. Status and notes columns show the changes. Dashboard changes after 30-60 seconds</t>
  </si>
  <si>
    <t>A message is displayed indicating the log entry was made. The new entry is displayed in the log table. The notes and status columns are changed accordingly. Dashboard  changes after 30-60 seconds.</t>
  </si>
  <si>
    <t xml:space="preserve">Type in a test mesasge in the notes input area. </t>
  </si>
  <si>
    <t>Enter a time in the date field. Enter something that is 3-4 days in the past. Click Submit button</t>
  </si>
  <si>
    <t>An error message is displayed that date can not be set so much back in the past.</t>
  </si>
  <si>
    <t>Enter a time that is less than 24 hrs in the past, and click Submit button.</t>
  </si>
  <si>
    <t>A message is displayed indicating the log entry was made. The new entry is displayed in the log table. The notes and status columns are changed accordingly.</t>
  </si>
  <si>
    <t>Log entry is created with a date in the past</t>
  </si>
  <si>
    <t>Backdate Edit</t>
  </si>
  <si>
    <t>Remote Updates</t>
  </si>
  <si>
    <t>The operations log (Home) page on the test server is open in a browser</t>
  </si>
  <si>
    <t>Go back to the first session and add a note and change status.</t>
  </si>
  <si>
    <t>Log Entry is made and status is changed.</t>
  </si>
  <si>
    <t>Go to the second session. Wait for 30-60 seconds.</t>
  </si>
  <si>
    <t>The page is updated with changes made in the first session. This includes log entry table and the dashboard.</t>
  </si>
  <si>
    <t>Edits are saved and changes are displayed.</t>
  </si>
  <si>
    <t>Concurent Updates</t>
  </si>
  <si>
    <t xml:space="preserve">Open another Hour Log session. This can be in another tab, another window, or a different browser. </t>
  </si>
  <si>
    <t>If needed, in the second session, click on the login button and log into the system.</t>
  </si>
  <si>
    <t>Click on save button on both the sessions almost simultaneously.</t>
  </si>
  <si>
    <t xml:space="preserve">Check the log entry </t>
  </si>
  <si>
    <t>The notes and status from the last edits are dispalyed.</t>
  </si>
  <si>
    <t>Click on the history icon for the entry.</t>
  </si>
  <si>
    <t xml:space="preserve">Either both the entries of one of them is shown </t>
  </si>
  <si>
    <t>Filter Logs</t>
  </si>
  <si>
    <t>Click on the forward and reverse buttons in the filtering section at the bottom of the page.</t>
  </si>
  <si>
    <t>Log entries are displayed for next 9 or 24 hours, or previous 9 or 24 hours based on the clicked button.</t>
  </si>
  <si>
    <t>Choose start and end dates in the filtering section, and then click on 'filter' button.</t>
  </si>
  <si>
    <t>Log entries for the chosen period are displayed.</t>
  </si>
  <si>
    <t>Reverse the start and end dates in the filtering section, and then click on 'filter' button.</t>
  </si>
  <si>
    <t>Same log entries, as above, are displayed.</t>
  </si>
  <si>
    <t>Same results as above</t>
  </si>
  <si>
    <t>The Shift page on the test server is open in a browser. The user is logged in and has OperateShift privileges</t>
  </si>
  <si>
    <t>The operations log page on the test server is open in a browser. The user has EditRecent privileges</t>
  </si>
  <si>
    <t xml:space="preserve">Click on Shift menu </t>
  </si>
  <si>
    <t>Shift page is opened in another tab</t>
  </si>
  <si>
    <t>Click on Cancel</t>
  </si>
  <si>
    <t>Change shift information (OIC, operators, beam phycists, engineers etc)</t>
  </si>
  <si>
    <t>Click on Cancel button</t>
  </si>
  <si>
    <t>Shift page closes. Shift information is not updated. OIC on dashboard does not change.</t>
  </si>
  <si>
    <t>Shift page closes. Shift information is  updated. OIC on dashboard is updated. A new log entry is automatically created.</t>
  </si>
  <si>
    <t>Click on Save button</t>
  </si>
  <si>
    <t>Select more than one Beam Coordinators. Click on Save button</t>
  </si>
  <si>
    <t xml:space="preserve">Select only one Beam Coordinator. </t>
  </si>
  <si>
    <t>External Links</t>
  </si>
  <si>
    <t>Hour Log is open in a browser</t>
  </si>
  <si>
    <t>Click on Links menu</t>
  </si>
  <si>
    <t>A list of links to external systems is displayed</t>
  </si>
  <si>
    <t>Click on a link in the Links menu</t>
  </si>
  <si>
    <t>The corresponding page to the external system is opened in a new tab.</t>
  </si>
  <si>
    <t>Repeat the above with each link in the Links menu</t>
  </si>
  <si>
    <t>CAC-01</t>
  </si>
  <si>
    <t>Cache</t>
  </si>
  <si>
    <t>Click on Cache menu, and select Trouble Reports</t>
  </si>
  <si>
    <t>Trouble Reports page is opened.</t>
  </si>
  <si>
    <t>Enter values for various fields to filter out Trouble Reports</t>
  </si>
  <si>
    <t>Trouble Reports are filtered based on the entered field values</t>
  </si>
  <si>
    <t>The newly created Trouble Report is now visible in the Trouble Report Cache page.</t>
  </si>
  <si>
    <t>If possible, create a new Trouble Report in the Trouble Report System. In the Hour Log Trouble Report page, click on Refresh button at the bottom.</t>
  </si>
  <si>
    <t>CAC-02</t>
  </si>
  <si>
    <t>Approved Experiments</t>
  </si>
  <si>
    <t>Click on Cache menu, and select Experiments</t>
  </si>
  <si>
    <t>Experiments  page is opened.</t>
  </si>
  <si>
    <t>CAC-03</t>
  </si>
  <si>
    <t>Training Records</t>
  </si>
  <si>
    <t>Click on Cache menu, and select Trainings</t>
  </si>
  <si>
    <t>Trainings  page is opened. It staff trained to be Operator-in-Charge..</t>
  </si>
  <si>
    <t>Enter values for various fields to filter out Training Records.</t>
  </si>
  <si>
    <t>Training Records are filtered based on the entered field values</t>
  </si>
  <si>
    <t>Status Report</t>
  </si>
  <si>
    <t>Reports</t>
  </si>
  <si>
    <t>Hour Log is open in a browser. User has GenerateReport privilege.</t>
  </si>
  <si>
    <t>Click on Reports menu item.</t>
  </si>
  <si>
    <t>Reports page is displayed</t>
  </si>
  <si>
    <t>In Operations Hour Log Report, choose 'Yearly' report,  year as 2003, and facility CCF. Click on Generate button.</t>
  </si>
  <si>
    <t xml:space="preserve">The report is displayed in the bottom half of the page. </t>
  </si>
  <si>
    <t>Open Old Hour Log, and generate the same report in it. Compare the reports in the Old and New Hour Log applications.</t>
  </si>
  <si>
    <t>The reports match exactly.</t>
  </si>
  <si>
    <t>Repeat the above process for weekly, monthly, quarterly, and period reports.</t>
  </si>
  <si>
    <t>The reports match in the old and new Hour Logs</t>
  </si>
  <si>
    <t>Repeat the above steps (3-5) for other years (2004-current).</t>
  </si>
  <si>
    <t>In Breakdown Report, choose 'Yearly' report,  year as 2003, and facility as  CCF. Click on Generate button.</t>
  </si>
  <si>
    <t>Repeat the above process by entereing start and end dates.</t>
  </si>
  <si>
    <t>Repeat the above steps (3-5) for few other experiments.</t>
  </si>
  <si>
    <t>In Experiment Report, choose  experiment #300. Leave the start and end dates blank. . Click on Generate button.</t>
  </si>
  <si>
    <t>Click on Notes menu</t>
  </si>
  <si>
    <t>Notes page  is displayed. Entries are displayed in reverse chronological order. Occurrence time, author, log book,  log text are valid.</t>
  </si>
  <si>
    <t xml:space="preserve">History for the entry is displayed in a popup window. Entry and occurrence times are valid. Changes in other columns are highlighted. </t>
  </si>
  <si>
    <t>Same results as above.</t>
  </si>
  <si>
    <t>Notes page  is displayed.</t>
  </si>
  <si>
    <t>Click on previous 9/24 hours buttons</t>
  </si>
  <si>
    <t>Entries from previous 9 or 24 hours are displayed.</t>
  </si>
  <si>
    <t>Click on next 9/24 hours buttons</t>
  </si>
  <si>
    <t>Entries from next 9 or 24 hours are displayed.</t>
  </si>
  <si>
    <t>Entries between the start and end date are displayed</t>
  </si>
  <si>
    <t>Reverse the start and end dates in the previous step</t>
  </si>
  <si>
    <t>Choose a start and end date, and click on 'Search' button</t>
  </si>
  <si>
    <t>Enter a start date, keep end date blank, and click on 'Search'</t>
  </si>
  <si>
    <t>Entries between the start date and current date are displayed.</t>
  </si>
  <si>
    <t>Enter an end date, keep start date blank, and click on 'Search'</t>
  </si>
  <si>
    <t>Entries from the first entry in the system till the end date are displayed</t>
  </si>
  <si>
    <t>Click on 'Reset' button</t>
  </si>
  <si>
    <t>All filtering fields are reset, and all log entries are displayed.</t>
  </si>
  <si>
    <t>Enter a phrase to search in 'Containing' field, and clik on 'Search'</t>
  </si>
  <si>
    <t>All log entries containing the phrase are displayed.</t>
  </si>
  <si>
    <t>Select few logbooks from choice of logbooks given.</t>
  </si>
  <si>
    <t>Entries from selected log books are displayed.</t>
  </si>
  <si>
    <t>Search with combindations of start date, end date, search phrase, and log books.</t>
  </si>
  <si>
    <t>Entries matching the search criteria are displayed.</t>
  </si>
  <si>
    <t>PRF-01</t>
  </si>
  <si>
    <t>Preferences Update</t>
  </si>
  <si>
    <t>Preferences</t>
  </si>
  <si>
    <t>Test instance of Hour Log is open in a browser</t>
  </si>
  <si>
    <t>Click on Prefernces button</t>
  </si>
  <si>
    <t>Preferences page is displayed</t>
  </si>
  <si>
    <t>Change default facility, and save.</t>
  </si>
  <si>
    <t>Message is displayed that preferences are saved.</t>
  </si>
  <si>
    <t>Logout</t>
  </si>
  <si>
    <t>Logout message is displayed</t>
  </si>
  <si>
    <t>Click on the login button and re-log into the system</t>
  </si>
  <si>
    <t>The facility is set to the default facility (check on dashboard)</t>
  </si>
  <si>
    <t>Change default Theme, and save.</t>
  </si>
  <si>
    <t>Message is displayed that preferences are saved. Theme is changed.</t>
  </si>
  <si>
    <t>The theme  is set to the preferred theme.</t>
  </si>
  <si>
    <t>PRF-02</t>
  </si>
  <si>
    <t>Notifications</t>
  </si>
  <si>
    <t>Choose a facility in 'Notifications For' field</t>
  </si>
  <si>
    <t>Click Save</t>
  </si>
  <si>
    <t>Click on Home icon</t>
  </si>
  <si>
    <t>Operations log page is displayed</t>
  </si>
  <si>
    <t>Facility status is changed, and new log entry is created.</t>
  </si>
  <si>
    <t xml:space="preserve">If the current faciltiy status is 'UOF', change it to something else: Click on 'unlock' button, choose a non-UOF summary, enter a test log text, and click on Submit </t>
  </si>
  <si>
    <t xml:space="preserve">Click on 'unlock' button, set summary to UOF, enter a test log text, and click on Submit </t>
  </si>
  <si>
    <t xml:space="preserve">A notfication email is sent to your notification email address. </t>
  </si>
  <si>
    <t>Click on Help Menu. Choose 'About'.</t>
  </si>
  <si>
    <t>About popup window is displayed.</t>
  </si>
  <si>
    <t>Click on Help Menu. Choose 'Report Problems'</t>
  </si>
  <si>
    <t xml:space="preserve">Report Problem popup id displayed. </t>
  </si>
  <si>
    <t>Click on 'development team'</t>
  </si>
  <si>
    <t xml:space="preserve">Email client opens with message to the Hour Log Development team. </t>
  </si>
  <si>
    <t>Type a test message, and send the email.</t>
  </si>
  <si>
    <t>Email is sent to the development team.</t>
  </si>
  <si>
    <t xml:space="preserve">Click on Help Menu. In API Manual, choose manuals one by one. </t>
  </si>
  <si>
    <t>The API manual is displaed</t>
  </si>
  <si>
    <t>User manual is displayed</t>
  </si>
  <si>
    <t xml:space="preserve">Click on Help Menu. Choose 'Online Help'. </t>
  </si>
  <si>
    <t>Admin Information</t>
  </si>
  <si>
    <t>Hour Log is open in a browser.</t>
  </si>
  <si>
    <t>Click on Admin button, and choose 'Authorizations'</t>
  </si>
  <si>
    <t>Authorization information is displayed: Role, Operations, Resources, Permissions, and User Roles.</t>
  </si>
  <si>
    <t>Click on Admin button, and choose 'Facility'</t>
  </si>
  <si>
    <t>Facility information is displayed: Facilities, Sources, Logbooks, Summary Codes, Vaults, Beam Systems. Beams, Elements, and Breadown Categories.</t>
  </si>
  <si>
    <t>Operations Staff information is displayed: Operations Roles, Shift Status, and Staff Roles.</t>
  </si>
  <si>
    <t>Admin Auth</t>
  </si>
  <si>
    <t>Hour Log is open in a browser. User has Admin privileges.</t>
  </si>
  <si>
    <t>Click on Login button and log in.</t>
  </si>
  <si>
    <t>Welcome message is displayed.</t>
  </si>
  <si>
    <t>Roles Management page is displayed.</t>
  </si>
  <si>
    <t>Click on 'Add' icon at the bottom</t>
  </si>
  <si>
    <t>Window for adding a new Role is displayed.</t>
  </si>
  <si>
    <t>Enter nothing and click Save</t>
  </si>
  <si>
    <t>Error message is displayed</t>
  </si>
  <si>
    <t>Click on 'Cancel'</t>
  </si>
  <si>
    <t>Window for adding role is closed</t>
  </si>
  <si>
    <t>Click on 'Add' icon at the bottom.</t>
  </si>
  <si>
    <t>Enter name and description. Click on Save.</t>
  </si>
  <si>
    <t>New role is saved and displayed in the roles table above. Message is displayed that the role was saved.</t>
  </si>
  <si>
    <t>Select the newly created role, and click on 'Edit' icon at the bottom</t>
  </si>
  <si>
    <t>Window for editing the selected role is displayed.</t>
  </si>
  <si>
    <t>The window is closed. Nothing is changed.</t>
  </si>
  <si>
    <t>Role is modified. A message is displayed that role is saved.</t>
  </si>
  <si>
    <t>Make name, descripton, or both blank. Click Save</t>
  </si>
  <si>
    <t>Change name, descirption or both. Click on 'Save'</t>
  </si>
  <si>
    <t>Select the newly created role, and click on 'Delete' icon at the bottom</t>
  </si>
  <si>
    <t>A cofirmation window is displayed.</t>
  </si>
  <si>
    <t>Nothing is deleted or modified.</t>
  </si>
  <si>
    <t>Click on Confirm</t>
  </si>
  <si>
    <t>Role is deleted. A message is displayed.</t>
  </si>
  <si>
    <t>Same as above</t>
  </si>
  <si>
    <t>Admin Facility</t>
  </si>
  <si>
    <t>Click on Admin button, choose 'Manage Facility', and then 'Logbooks'</t>
  </si>
  <si>
    <t>Logbook Management page is displayed.</t>
  </si>
  <si>
    <t>Window for adding a new Logbook is displayed.</t>
  </si>
  <si>
    <t>Window for adding Logbook is closed</t>
  </si>
  <si>
    <t>New Logbook is saved and displayed in the Logbooks table above. Message is displayed that the Logbook was saved.</t>
  </si>
  <si>
    <t>Select the newly created Logbook, and click on 'Edit' icon at the bottom</t>
  </si>
  <si>
    <t>Window for editing the selected Logbook is displayed.</t>
  </si>
  <si>
    <t>Logbook is modified. A message is displayed that Logbook is saved.</t>
  </si>
  <si>
    <t>Select the newly created Logbook, and click on 'Delete' icon at the bottom</t>
  </si>
  <si>
    <t>Logbook is deleted. A message is displayed.</t>
  </si>
  <si>
    <t>Repeat steps above, 2-16, for Beams, Beam Systems, Breakdowns, Elements, Elements, Facilities, Modes, Sources, Summaries, and Vaults</t>
  </si>
  <si>
    <t>Admin Staff</t>
  </si>
  <si>
    <t>Click on Admin button, choose 'Manage Staff', and then 'Operation Roles'</t>
  </si>
  <si>
    <t>Operations Role Management page is displayed.</t>
  </si>
  <si>
    <t>Window for adding a new Operations Role is displayed.</t>
  </si>
  <si>
    <t>Window for adding Operations Role is closed</t>
  </si>
  <si>
    <t>New Operations Role is saved and displayed in the Operations Roles table above. Message is displayed that the Operations Role was saved.</t>
  </si>
  <si>
    <t>Select the newly created Operations Role, and click on 'Edit' icon at the bottom</t>
  </si>
  <si>
    <t>Window for editing the selected Operations Role is displayed.</t>
  </si>
  <si>
    <t>Operations Role is modified. A message is displayed that Operations Role is saved.</t>
  </si>
  <si>
    <t>Select the newly created Operations Role, and click on 'Delete' icon at the bottom</t>
  </si>
  <si>
    <t>Operations Role is deleted. A message is displayed.</t>
  </si>
  <si>
    <t>Repeat steps above, 2-16, for Shift Status and Staff Roles.</t>
  </si>
  <si>
    <t>REP-04</t>
  </si>
  <si>
    <t>Experiment Report URL</t>
  </si>
  <si>
    <t>Open the URL to the experiment report: /report/experiment?number=300</t>
  </si>
  <si>
    <t>Report for the given experiment is displayed</t>
  </si>
  <si>
    <t>Both the reports match.</t>
  </si>
  <si>
    <t>Generate the report for the same experiment through 'Report's menu, and compare with report from previous step</t>
  </si>
  <si>
    <t>Repeat above steps with few other experiments</t>
  </si>
  <si>
    <t>Same as above.</t>
  </si>
  <si>
    <t>Defects</t>
  </si>
  <si>
    <t>None Beam</t>
  </si>
  <si>
    <t>DEF-01</t>
  </si>
  <si>
    <t>Test version of Hour Log is open in a browser</t>
  </si>
  <si>
    <t>Changing beam from 'None' must not cause error.</t>
  </si>
  <si>
    <t>AUT-01</t>
  </si>
  <si>
    <t>Authorizations</t>
  </si>
  <si>
    <t>Check if authotizations are working</t>
  </si>
  <si>
    <t>Test isntace of Hour Log is open in a browser</t>
  </si>
  <si>
    <t>Click on Login button. Enter wrong username or/and  wrong password.</t>
  </si>
  <si>
    <t>Error message is displayed.</t>
  </si>
  <si>
    <t>Click on Login button. Enter valid username and  valid password.</t>
  </si>
  <si>
    <t>Logout and login as  in as a user with Log Create privileges. Enter text and submit.</t>
  </si>
  <si>
    <t>A new log entry is created.</t>
  </si>
  <si>
    <t xml:space="preserve">Logout and login as  in as a user without Log Create privileges. </t>
  </si>
  <si>
    <t>It is not possible to create a log entry.</t>
  </si>
  <si>
    <t>Logout and login as  in as a user with UpdateStatus privilege. Change status (Beam, Summary, Source etc)</t>
  </si>
  <si>
    <t>Log entry is created. Facility status is updated.</t>
  </si>
  <si>
    <t xml:space="preserve">Logout and login as  in as a user without UpdateStatus privilege. </t>
  </si>
  <si>
    <t>It is notpossible to change facility status.</t>
  </si>
  <si>
    <t xml:space="preserve">Logout and login as  in as a user without GenerateReport privilege. </t>
  </si>
  <si>
    <t>It is notpossible to generate reports.</t>
  </si>
  <si>
    <t>Logout and login as  in as a user with GenerateReport privilege. Click on Reports menu, generate any report.</t>
  </si>
  <si>
    <t>Report is generated.</t>
  </si>
  <si>
    <t xml:space="preserve">Logout and login as  in as a user without OperteShift privilege. </t>
  </si>
  <si>
    <t>It is not possible to update shift information</t>
  </si>
  <si>
    <t>Logout and login as  in as a user with OperteShift privilege. Click on Shift menu, update shift information, and save.</t>
  </si>
  <si>
    <t>Shift information is updated. An auto log entry is created.</t>
  </si>
  <si>
    <t xml:space="preserve">Logout and login as  in as a user without EditRecent privilege. </t>
  </si>
  <si>
    <t>Cannot edit recent entries by others.</t>
  </si>
  <si>
    <t>Logout and login as  in as a user with EditRecent privilege.</t>
  </si>
  <si>
    <t>Only recent entries (last 24hrs) by others are editable. Older entries are not.</t>
  </si>
  <si>
    <t>Edit a recent entry created by another person, and save.</t>
  </si>
  <si>
    <t>Log entry is modified.</t>
  </si>
  <si>
    <t xml:space="preserve">Logout and login as  in as a user without Manage privilege. </t>
  </si>
  <si>
    <t>Can not change facility data, authotiztions, or staff data.</t>
  </si>
  <si>
    <t xml:space="preserve">Logout and login as  in as a user with Manage privilege. Choose and run any test from ADM-02, ADM-03, or ADM-04. </t>
  </si>
  <si>
    <t>Test is succssful</t>
  </si>
  <si>
    <t>AUT-02</t>
  </si>
  <si>
    <t>URL Auth</t>
  </si>
  <si>
    <t>Check if authotizations can be circumvented by using URLs directly</t>
  </si>
  <si>
    <t>Type in the URL for reports (.../hourlog/report/)</t>
  </si>
  <si>
    <t>An error message is displayed</t>
  </si>
  <si>
    <t>Type in the URL for shift (.../hourlog/shift/)</t>
  </si>
  <si>
    <t>Type in the URL for managing permissions (.../hourlog/admin/auth/manage/auth-permissions.xhtml)</t>
  </si>
  <si>
    <t>Repeat above procedure with all admin URLs (roles, resources, facility data, staff etc)</t>
  </si>
  <si>
    <t>An error message is displayed in all cases</t>
  </si>
  <si>
    <t>Summary API</t>
  </si>
  <si>
    <t>A summary of facility as described in the API manual in JSON.</t>
  </si>
  <si>
    <t>Replace 'application/json' with 'application/xml' in the command above.</t>
  </si>
  <si>
    <t>A summary of facility as described in the API manual in XML.</t>
  </si>
  <si>
    <t>Append '?facility=CCF' to the above command, and run it</t>
  </si>
  <si>
    <t>A valid Hour Log API Key/passcode combination is available.</t>
  </si>
  <si>
    <t>Note: Instead of  curl you may use browser plugins such as 'Advanced REST Client' for Chrome, Firefox, Safari, or IE</t>
  </si>
  <si>
    <t>A list of events, in JSON, as described in the API manual.</t>
  </si>
  <si>
    <t>A list of events, in XML, as described in the API manual.</t>
  </si>
  <si>
    <t>Rerun the above command by append a combination of following options: to=2014-12-01, start=1, size=10</t>
  </si>
  <si>
    <t>A list of events confroming to the given constraints.</t>
  </si>
  <si>
    <t>?facility=CCF&amp;from=2014-01-01&amp;to=2014-12-01&amp;start=1&amp;size=10</t>
  </si>
  <si>
    <t>API-03</t>
  </si>
  <si>
    <t>Notes API</t>
  </si>
  <si>
    <t>Replace https://dev0-hlc.nscl.msu.edu:8181 with proper server address</t>
  </si>
  <si>
    <t>A list of notes, in JSON, as described in the API manual.</t>
  </si>
  <si>
    <t>A list of notes, in XML, as described in the API manual.</t>
  </si>
  <si>
    <t>A list of notes confroming to the given constraints.</t>
  </si>
  <si>
    <t>Events API</t>
  </si>
  <si>
    <t>API-04</t>
  </si>
  <si>
    <t>Facility API</t>
  </si>
  <si>
    <t>Invoke the API  using curl (as shown below). Key:passcode are the API key/passcode.</t>
  </si>
  <si>
    <t>Invoke the API using curl (as shown below). Key:passcode are the API key/passcode.</t>
  </si>
  <si>
    <t>A list of facility, in JSON,  as described in the API manual.</t>
  </si>
  <si>
    <t>A list of facility, in XML,  as described in the API manual.</t>
  </si>
  <si>
    <t>API Stress</t>
  </si>
  <si>
    <t xml:space="preserve">Run API test API-01 in a loop waiting  5 seconds between each invocation. </t>
  </si>
  <si>
    <t>Same as response to API-01 for each invocation</t>
  </si>
  <si>
    <t xml:space="preserve">This is better done in a script. </t>
  </si>
  <si>
    <t>Start another test as above, but with API-02, in parallel.</t>
  </si>
  <si>
    <t>Same as response to API-02 for each invocation</t>
  </si>
  <si>
    <t>Repeat above step for rest of the API tests.</t>
  </si>
  <si>
    <t>Same as response to corresponding API tesults</t>
  </si>
  <si>
    <t>Use tools such as VisualVM</t>
  </si>
  <si>
    <t>Monitor the server for 1 to 2 days.</t>
  </si>
  <si>
    <t>Reponse times to above tests are not excessively large. Load on server is not excessive. Server is not running out of Heap memory. Server has not crashed.</t>
  </si>
  <si>
    <t>This is better done in a script. Reduce the wait time further, To stress the server more.</t>
  </si>
  <si>
    <t>Sample scripts are included in 'qa' subdirectory in the source.</t>
  </si>
  <si>
    <t>PER-02</t>
  </si>
  <si>
    <t>Session Stress</t>
  </si>
  <si>
    <t xml:space="preserve">Hour Log opens within 30-60 seconds. </t>
  </si>
  <si>
    <t xml:space="preserve">Use tools like Jmeter. </t>
  </si>
  <si>
    <t>Open multiple sessions of Hour Log (on test server). Open at least 1000-2000 sessions.</t>
  </si>
  <si>
    <t>Monitor the server during the test.</t>
  </si>
  <si>
    <t>Load on server is not excessive. Server is not running out of Heap memory. Server has not crashed.</t>
  </si>
  <si>
    <t>Use tools such as VisualVM.</t>
  </si>
  <si>
    <t>Sheet</t>
  </si>
  <si>
    <t>Test ID</t>
  </si>
  <si>
    <t>By</t>
  </si>
  <si>
    <t>Date</t>
  </si>
  <si>
    <t>Summary Result</t>
  </si>
  <si>
    <t>Comment</t>
  </si>
  <si>
    <t>#</t>
  </si>
  <si>
    <t>Hour Log Test Suite</t>
  </si>
  <si>
    <t xml:space="preserve">Edit-Log -Entry  window is displayed. </t>
  </si>
  <si>
    <t>Clear the notes text and click on Save button without.</t>
  </si>
  <si>
    <t>Click on the edit link again.</t>
  </si>
  <si>
    <t>Change facility status, attach documents and TRs</t>
  </si>
  <si>
    <t>Click on attached document in the history window</t>
  </si>
  <si>
    <t>Click on TR in the history window</t>
  </si>
  <si>
    <t>Log entry is updated</t>
  </si>
  <si>
    <t>Repeat the previous step with a date in future.</t>
  </si>
  <si>
    <t>CNF-01</t>
  </si>
  <si>
    <t>Test Config</t>
  </si>
  <si>
    <t>Configuration</t>
  </si>
  <si>
    <t>ACT-12</t>
  </si>
  <si>
    <t>Status Sync</t>
  </si>
  <si>
    <t>Status entries must have the latest values when unlock button is clicked.</t>
  </si>
  <si>
    <t>Welcome message will be displayed only if  a different browser was used.</t>
  </si>
  <si>
    <t>Go back to the first session and edit a log entry. Change the note and facility status. Save.</t>
  </si>
  <si>
    <t>The page is updated with changes made in the first session. This includes log entry table and the dashboard. However, New Entry panel shows the old values.</t>
  </si>
  <si>
    <t>In the second session, click on unlock button.</t>
  </si>
  <si>
    <t>Status fields in the New Entry panel are updated with changes made in the first session.</t>
  </si>
  <si>
    <t xml:space="preserve">In the 2nd session, edit a log entry. Change the note and facility status. </t>
  </si>
  <si>
    <t xml:space="preserve">Go back to the first session and edit the same log entry. Change the note and facility status. </t>
  </si>
  <si>
    <t>Either of the following can happen: both sessions display messages saying that the entry has been saved. Or one of them saves the entry, and the other gives an error message saying 'someone else has already updated the entry.</t>
  </si>
  <si>
    <t>On test server, saves to edits are intentionally delayed to trigger  concurrency error.</t>
  </si>
  <si>
    <t xml:space="preserve">Simultaenous edits to a log entry are saved properly. </t>
  </si>
  <si>
    <t>Enter values for various fields to filter out Experiments</t>
  </si>
  <si>
    <t>Experiments are filtered based on the entered field values</t>
  </si>
  <si>
    <t>Disabled</t>
  </si>
  <si>
    <t>curl -v -k -H "Accept: application/json" -H "DISCS-Authorization: key:pass" -X GET https://dev0-hlc.nscl.msu.edu:8181/hourlog/api/rest/v0.1.0/facilities</t>
  </si>
  <si>
    <t>Slight discrepancy in UOFexc and UOFexp</t>
  </si>
  <si>
    <t>Click on Admin button, and choose 'Staff'</t>
  </si>
  <si>
    <t>Click on Preferences button</t>
  </si>
  <si>
    <t xml:space="preserve">Message is displayed that preferences are saved. </t>
  </si>
  <si>
    <t xml:space="preserve">Open Hour Log in a browser. </t>
  </si>
  <si>
    <t>The header on the page indicates that it is a test instance. This is generally done by displaying 'Test Instance' in bold and red color.</t>
  </si>
  <si>
    <t>Artifacts of test deployment must not appear in production</t>
  </si>
  <si>
    <t>Set deployment to production: in the application server set  property 'deployment-environment' to 'production' (no quotes) in the JNDI resource org.openepics.discs.hourlog</t>
  </si>
  <si>
    <t>Set deployment to production: in the application server set  property 'deployment-environment' to 'test' (not quotes) in the JNDI resource org.openepics.discs.hourlog</t>
  </si>
  <si>
    <t xml:space="preserve">The header on the page does not indicate that it is a test instance. </t>
  </si>
  <si>
    <t>Set deployment to test: in the application server set  property 'deployment-environment' to 'test' (no quotes) in the JNDI resource org.openepics.discs.hourlog</t>
  </si>
  <si>
    <t>Welcome message is displayed. A notification that it is a test instace will be displaed in the Header.</t>
  </si>
  <si>
    <t>on the Application server, reload the Hour Log application.</t>
  </si>
  <si>
    <t>Wait till Hour Log is reloaded</t>
  </si>
  <si>
    <t>Turn on concurrency testing: in the application server set  property 'test-concurrency' to true in the JNDI resource org.openepics.discs.hourlog</t>
  </si>
  <si>
    <t>Turn off concurrency testing: in the application server set  property 'test-concurrency' to false, or remove the property in the JNDI resource org.openepics.discs.hourlog</t>
  </si>
  <si>
    <t>In some cases, you may need to reload the application (on the Application Server).</t>
  </si>
  <si>
    <t>Repeat steps above, 2-16, for Resources, Permissions, Users, and User Roles</t>
  </si>
  <si>
    <t>Requirement</t>
  </si>
  <si>
    <t>PASS</t>
  </si>
  <si>
    <t>FAIL</t>
  </si>
  <si>
    <t>A user must be able able to browse log entries.</t>
  </si>
  <si>
    <t>A user must be authenticated (to perform certain operations)</t>
  </si>
  <si>
    <t>Repeat above steps  with different browsers (Chrome, Firefox, IE, Safari at least)</t>
  </si>
  <si>
    <t>An authorized user must be able to create log entries.</t>
  </si>
  <si>
    <t>An authorized user must be able to edit a log entry</t>
  </si>
  <si>
    <t>An authorized user must be able to change facility status</t>
  </si>
  <si>
    <t>Authorized users must be able to edit facility status</t>
  </si>
  <si>
    <t>Click on the edit link again</t>
  </si>
  <si>
    <t>Click on Save button without changing anything.</t>
  </si>
  <si>
    <t>Click on Save Btton</t>
  </si>
  <si>
    <t>Authorizes users must be able to backdate a log entry</t>
  </si>
  <si>
    <t>Authorized users must be able to edit a log entry and change the occurrence date</t>
  </si>
  <si>
    <t xml:space="preserve">Hour Log views must get updated with changes made by other users </t>
  </si>
  <si>
    <t>Turn off concurrency testing: in the application server set  property 'test-concurrency' to false in the JNDI resource org.openepics.discs.hourlog</t>
  </si>
  <si>
    <t>Users must be able to filter log entries based on start/end dates, and go forward/back by 9 or 24 hours.</t>
  </si>
  <si>
    <t>A user must be able to search text part of  Log Entries (Notes)</t>
  </si>
  <si>
    <t>Hour Log must link to external systems such as DataU, 911 Screen, Plasma Screen, Short Term Schedule</t>
  </si>
  <si>
    <t>Disrecpancy with old Hour Log breakdown report but matches exactly with breakdowns in Old Hour Log  operations report!</t>
  </si>
  <si>
    <t>Hour Log must provide  a  URL to get Experiment report for a given experiment</t>
  </si>
  <si>
    <t>Authorized users must be able to generate Breakdown reports</t>
  </si>
  <si>
    <t>Authorized users must be able to generate Experiment reports</t>
  </si>
  <si>
    <t>Authorized users must be able to generate Operations reports</t>
  </si>
  <si>
    <t>Users must be able to browse Trouble Reports cache</t>
  </si>
  <si>
    <t>Users must be able to browse  Approved Experiments in cache</t>
  </si>
  <si>
    <t>Users must be able to browse Training Records in cache</t>
  </si>
  <si>
    <t xml:space="preserve">Authorized users must be able to view authorizations, facilitiy base data, and operation staff information </t>
  </si>
  <si>
    <t>Authorized users must be able to manage authotrization data</t>
  </si>
  <si>
    <t>Authorized users must be able to manage facility data</t>
  </si>
  <si>
    <t>Authorized users must be able to manage staff data</t>
  </si>
  <si>
    <t>Users must be able to choose default facility, theme etc</t>
  </si>
  <si>
    <t>A user must be able to subscribe to facility notifications</t>
  </si>
  <si>
    <t>Hour Log must be able support at least 500 simultaneous  user sessions</t>
  </si>
  <si>
    <t>Hour Log mus tbe able handle at least 2 API calls per minute</t>
  </si>
  <si>
    <t>Hour Log must provide an API to generate  summary (current status, shift staff, experiment etc) information about a facility</t>
  </si>
  <si>
    <t>curl -v -k -H "Accept: application/json" -H "DISCS-Authorization: key:pass" -X GET 'https://dev0-hlc.nscl.msu.edu:8181/hourlog/api/rest/v0.1.0/notes?facility=CCF&amp;from=2014-01-01'</t>
  </si>
  <si>
    <t>curl -v -k -H "Accept: application/json" -H "DISCS-Authorization: key:pass" -X GET 'https://dev0-hlc.nscl.msu.edu:8181/hourlog/api/rest/v0.1.0/reports/summary'</t>
  </si>
  <si>
    <t>Hour Log must provide an API to extract log entries</t>
  </si>
  <si>
    <t>Hour Log must provide an API to extract status events</t>
  </si>
  <si>
    <t>curl -v -k -H "Accept: application/json" -H "DISCS-Authorization: key:pass" -X GET 'https://dev0-hlc.nscl.msu.edu:8181/hourlog/api/rest/v0.1.0/events?facility=CCF&amp;from=2014-01-01'</t>
  </si>
  <si>
    <t>See PER-01</t>
  </si>
  <si>
    <t>Keep the API Performance Test (PER-01) running</t>
  </si>
  <si>
    <t>A user must be able to browse text part of  Log Entries (Notes)</t>
  </si>
  <si>
    <t>Authorized users must be able to update shift information</t>
  </si>
  <si>
    <t>Hour Log must provide an API to extract list of facilities</t>
  </si>
  <si>
    <t>It is not possible to generate reports.</t>
  </si>
  <si>
    <t>A user must be able to check Hour Log version, documentation, and be able to report problems.</t>
  </si>
  <si>
    <t>Enter your notification email address. Use an email address that is not in msu.edu domain. For example, gmail.com or txt.att.com</t>
  </si>
  <si>
    <t>Revision History</t>
  </si>
  <si>
    <t>Revision</t>
  </si>
  <si>
    <t>Issued</t>
  </si>
  <si>
    <t>Changes</t>
  </si>
  <si>
    <t>R001</t>
  </si>
  <si>
    <t>Original issue</t>
  </si>
  <si>
    <t>Authorizing Document</t>
  </si>
  <si>
    <t>None.</t>
  </si>
  <si>
    <t>Authorized Documents</t>
  </si>
  <si>
    <t>Authorized Committees and Boards</t>
  </si>
  <si>
    <t>FRIB-N20000-PR-000307-R001</t>
  </si>
  <si>
    <t>Issued 24 March 2015</t>
  </si>
  <si>
    <t>Prepared by</t>
  </si>
  <si>
    <t>Approved by</t>
  </si>
  <si>
    <t>Version Tested</t>
  </si>
  <si>
    <t>1.1.0</t>
  </si>
  <si>
    <t>Changes are not highlighted</t>
  </si>
  <si>
    <t>Not all steps are repeated with every browser</t>
  </si>
  <si>
    <t xml:space="preserve">Summary of first entry does not match. No highlights for changes. </t>
  </si>
  <si>
    <t>Erase the notes and click on Save button.</t>
  </si>
  <si>
    <t>Hour Log home screen</t>
  </si>
  <si>
    <t>Open another Hour Log session. This can be in another tab, another window, or a different browser. Use same facility on both sessions.</t>
  </si>
  <si>
    <t>Test no longer valid after Olog integration</t>
  </si>
  <si>
    <t>Open another Hour Log session. This can be in another tab, another window, or a different browser. If using a different browser,  log in.</t>
  </si>
  <si>
    <t>New URL for DataU is not working</t>
  </si>
  <si>
    <t>Did not check this</t>
  </si>
  <si>
    <t>experiment with no associated events gives error</t>
  </si>
  <si>
    <t>Change all beams to 'None'. Enter a note.  Save log entry.</t>
  </si>
  <si>
    <t>Repeat the above step but change one or more beams to something other than 'None'.</t>
  </si>
  <si>
    <t>Rerun the above commands using ReA</t>
  </si>
  <si>
    <t>A list of notes confroming to the given constraints from ReA Operations log book.</t>
  </si>
  <si>
    <t>?facility=ReA&amp;from=2014-01-01&amp;to=2014-12-01&amp;start=1&amp;size=10</t>
  </si>
  <si>
    <t>Append '?facility=ReA' to the above command, and run it</t>
  </si>
  <si>
    <t>A summary of ReA as described in the API manual in XML.</t>
  </si>
  <si>
    <t>A summary of CCF as described in the API manual in XML.</t>
  </si>
  <si>
    <t>Rerun the above command for ReA</t>
  </si>
  <si>
    <t>A list of events confroming to the given constraints at ReA</t>
  </si>
  <si>
    <t>Click on Admin button, choose 'Manage Auth', and then 'Roles'.</t>
  </si>
  <si>
    <t>Trouble Reports are not getting added or deleted</t>
  </si>
  <si>
    <t>Attachments for old entries are not being shown</t>
  </si>
  <si>
    <t xml:space="preserve">Sometimes can take upto a minute. Gives error 'Something went wrong',  once for every 3-5 entries. </t>
  </si>
  <si>
    <t>Test not completed</t>
  </si>
  <si>
    <t>Test Not Completed</t>
  </si>
  <si>
    <t>R002</t>
  </si>
  <si>
    <t>Added DEF-02</t>
  </si>
  <si>
    <t>DEF-02</t>
  </si>
  <si>
    <t>Inactive Summary</t>
  </si>
  <si>
    <t>Making a facilty summary inactive must not result in errors (in reports, API, etc)</t>
  </si>
  <si>
    <t>Select Admin -&gt; Manage Facility -&gt; Summaries</t>
  </si>
  <si>
    <t>Summary Management page is displayed</t>
  </si>
  <si>
    <t>Select EXN. Click on Edit icon. Make it inactive.</t>
  </si>
  <si>
    <t>EXN is made inactive</t>
  </si>
  <si>
    <t>Reports are generated without any errors or discrepancies.</t>
  </si>
  <si>
    <t>Test summary-report API as per API-01 test case</t>
  </si>
  <si>
    <t>Click on Reports menu. Test Operations Hour Log Report and Experiment Report (as per REP-01 and REP-03 test cases)</t>
  </si>
  <si>
    <t>The API executes successfully</t>
  </si>
  <si>
    <t>Repeat above steps (3-5) for other summaries such as XDT, EXR, SDT, PDT, IDT etc</t>
  </si>
  <si>
    <t>No errors are reported</t>
  </si>
  <si>
    <t>No errors are thrown, and no discrepancies in reports.</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</si>
</sst>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b/>
      <sz val="11"/>
      <color theme="1"/>
      <name val="Calibri"/>
      <family val="2"/>
      <scheme val="minor"/>
    </font>
    <font>
      <b/>
      <sz val="11"/>
      <color theme="1"/>
      <name val="Arial"/>
      <family val="2"/>
    </font>
    <font>
      <sz val="11"/>
      <color theme="1"/>
      <name val="Arial"/>
      <family val="2"/>
    </font>
    <font>
      <sz val="11"/>
      <color rgb="FFFF0000"/>
      <name val="Calibri"/>
      <family val="2"/>
      <scheme val="minor"/>
    </font>
    <font>
      <sz val="11"/>
      <color rgb="FF00B050"/>
      <name val="Calibri"/>
      <family val="2"/>
      <scheme val="minor"/>
    </font>
    <font>
      <b/>
      <sz val="16"/>
      <name val="Arial"/>
      <family val="2"/>
    </font>
    <font>
      <sz val="11"/>
      <color theme="1"/>
      <name val="Calibri"/>
      <family val="2"/>
    </font>
    <font>
      <b/>
      <sz val="10"/>
      <name val="Arial Narrow"/>
      <family val="2"/>
    </font>
    <font>
      <sz val="10"/>
      <name val="Arial Narrow"/>
      <family val="2"/>
    </font>
    <font>
      <b/>
      <sz val="16"/>
      <color theme="1"/>
      <name val="Arial"/>
      <family val="2"/>
    </font>
    <font>
      <sz val="12"/>
      <color theme="1"/>
      <name val="Times New Roman"/>
      <family val="1"/>
    </font>
    <font>
      <u/>
      <sz val="11"/>
      <color theme="10"/>
      <name val="Calibri"/>
      <family val="2"/>
      <scheme val="minor"/>
    </font>
    <font>
      <sz val="10"/>
      <name val="Arial"/>
      <family val="2"/>
    </font>
    <font>
      <sz val="11"/>
      <color rgb="FF000000"/>
      <name val="Calibri"/>
      <family val="2"/>
    </font>
    <font>
      <sz val="12"/>
      <color rgb="FF000000"/>
      <name val="Arial"/>
      <family val="2"/>
    </font>
    <font>
      <sz val="11"/>
      <color rgb="FF000000"/>
      <name val="Arial"/>
      <family val="2"/>
    </font>
    <font>
      <b/>
      <sz val="24"/>
      <color rgb="FF000000"/>
      <name val="Arial"/>
      <family val="2"/>
    </font>
    <font>
      <b/>
      <sz val="36"/>
      <color rgb="FF000000"/>
      <name val="Arial"/>
      <family val="2"/>
    </font>
    <font>
      <b/>
      <sz val="12"/>
      <color rgb="FF000000"/>
      <name val="Arial"/>
      <family val="2"/>
    </font>
    <font>
      <sz val="14"/>
      <color rgb="FF000000"/>
      <name val="Arial"/>
      <family val="2"/>
    </font>
    <font>
      <sz val="9"/>
      <color rgb="FF000000"/>
      <name val="Arial"/>
      <family val="2"/>
    </font>
    <font>
      <sz val="14"/>
      <name val="Arial"/>
      <family val="2"/>
    </font>
    <font>
      <b/>
      <sz val="11"/>
      <color rgb="FF000000"/>
      <name val="Arial"/>
      <family val="2"/>
    </font>
  </fonts>
  <fills count="12">
    <fill>
      <patternFill patternType="none"/>
    </fill>
    <fill>
      <patternFill patternType="gray125"/>
    </fill>
    <fill>
      <patternFill patternType="solid">
        <fgColor theme="2" tint="-9.9978637043366805E-2"/>
        <bgColor indexed="64"/>
      </patternFill>
    </fill>
    <fill>
      <patternFill patternType="solid">
        <fgColor theme="3" tint="0.79998168889431442"/>
        <bgColor indexed="64"/>
      </patternFill>
    </fill>
    <fill>
      <patternFill patternType="solid">
        <fgColor theme="0"/>
        <bgColor indexed="64"/>
      </patternFill>
    </fill>
    <fill>
      <patternFill patternType="solid">
        <fgColor rgb="FF333333"/>
        <bgColor indexed="64"/>
      </patternFill>
    </fill>
    <fill>
      <patternFill patternType="solid">
        <fgColor rgb="FFFF0000"/>
        <bgColor indexed="64"/>
      </patternFill>
    </fill>
    <fill>
      <patternFill patternType="solid">
        <fgColor rgb="FFEEAA00"/>
        <bgColor indexed="64"/>
      </patternFill>
    </fill>
    <fill>
      <patternFill patternType="solid">
        <fgColor rgb="FFDDCC00"/>
        <bgColor indexed="64"/>
      </patternFill>
    </fill>
    <fill>
      <patternFill patternType="solid">
        <fgColor rgb="FF21AA00"/>
        <bgColor indexed="64"/>
      </patternFill>
    </fill>
    <fill>
      <patternFill patternType="solid">
        <fgColor rgb="FF42AA88"/>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rgb="FF000000"/>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style="thin">
        <color indexed="64"/>
      </right>
      <top/>
      <bottom style="thin">
        <color indexed="64"/>
      </bottom>
      <diagonal/>
    </border>
  </borders>
  <cellStyleXfs count="3">
    <xf numFmtId="0" fontId="0" fillId="0" borderId="0"/>
    <xf numFmtId="0" fontId="12" fillId="0" borderId="0" applyNumberFormat="0" applyFill="0" applyBorder="0" applyAlignment="0" applyProtection="0"/>
    <xf numFmtId="0" fontId="13" fillId="0" borderId="0"/>
  </cellStyleXfs>
  <cellXfs count="95">
    <xf numFmtId="0" fontId="0" fillId="0" borderId="0" xfId="0"/>
    <xf numFmtId="0" fontId="0" fillId="0" borderId="0" xfId="0" applyAlignment="1"/>
    <xf numFmtId="0" fontId="0" fillId="0" borderId="1" xfId="0" applyBorder="1"/>
    <xf numFmtId="0" fontId="1" fillId="2" borderId="1" xfId="0" applyFont="1" applyFill="1" applyBorder="1"/>
    <xf numFmtId="0" fontId="1" fillId="3" borderId="1" xfId="0" applyFont="1" applyFill="1" applyBorder="1"/>
    <xf numFmtId="0" fontId="0" fillId="0" borderId="1" xfId="0" applyBorder="1" applyAlignment="1">
      <alignment wrapText="1"/>
    </xf>
    <xf numFmtId="0" fontId="0" fillId="0" borderId="0" xfId="0" applyAlignment="1">
      <alignment vertical="center" wrapText="1"/>
    </xf>
    <xf numFmtId="0" fontId="1" fillId="3" borderId="1" xfId="0" applyFont="1" applyFill="1" applyBorder="1" applyAlignment="1">
      <alignment vertical="center" wrapText="1"/>
    </xf>
    <xf numFmtId="0" fontId="0" fillId="0" borderId="1" xfId="0"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0" fontId="1" fillId="2" borderId="1" xfId="0" applyFont="1" applyFill="1" applyBorder="1" applyAlignment="1">
      <alignment vertical="center" wrapText="1"/>
    </xf>
    <xf numFmtId="0" fontId="1" fillId="4" borderId="1" xfId="0" applyFont="1" applyFill="1" applyBorder="1" applyAlignment="1">
      <alignment vertical="center" wrapText="1"/>
    </xf>
    <xf numFmtId="0" fontId="2" fillId="0" borderId="1" xfId="0" applyFont="1" applyBorder="1"/>
    <xf numFmtId="0" fontId="3" fillId="0" borderId="1" xfId="0" applyFont="1" applyBorder="1"/>
    <xf numFmtId="0" fontId="3" fillId="5" borderId="1" xfId="0" applyFont="1" applyFill="1" applyBorder="1"/>
    <xf numFmtId="0" fontId="3" fillId="6" borderId="1" xfId="0" applyFont="1" applyFill="1" applyBorder="1"/>
    <xf numFmtId="0" fontId="3" fillId="7" borderId="1" xfId="0" applyFont="1" applyFill="1" applyBorder="1"/>
    <xf numFmtId="0" fontId="3" fillId="8" borderId="1" xfId="0" applyFont="1" applyFill="1" applyBorder="1"/>
    <xf numFmtId="0" fontId="3" fillId="9" borderId="1" xfId="0" applyFont="1" applyFill="1" applyBorder="1"/>
    <xf numFmtId="0" fontId="3" fillId="10" borderId="1" xfId="0" applyFont="1" applyFill="1" applyBorder="1"/>
    <xf numFmtId="0" fontId="0" fillId="4"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2" fillId="0" borderId="0" xfId="0" applyFont="1" applyBorder="1"/>
    <xf numFmtId="0" fontId="3" fillId="0" borderId="0" xfId="0" applyFont="1" applyBorder="1"/>
    <xf numFmtId="0" fontId="0" fillId="0" borderId="1" xfId="0" applyBorder="1" applyAlignment="1">
      <alignment vertical="center" wrapText="1"/>
    </xf>
    <xf numFmtId="0" fontId="1" fillId="2" borderId="1" xfId="0" applyFont="1" applyFill="1" applyBorder="1" applyAlignment="1">
      <alignment vertical="center" wrapText="1"/>
    </xf>
    <xf numFmtId="0" fontId="0" fillId="0" borderId="0" xfId="0" applyAlignment="1">
      <alignment wrapText="1"/>
    </xf>
    <xf numFmtId="0" fontId="1" fillId="3" borderId="1" xfId="0" applyFont="1" applyFill="1" applyBorder="1" applyAlignment="1">
      <alignment wrapText="1"/>
    </xf>
    <xf numFmtId="0" fontId="0" fillId="0" borderId="0" xfId="0" applyBorder="1" applyAlignment="1">
      <alignment vertical="center" wrapText="1"/>
    </xf>
    <xf numFmtId="0" fontId="0" fillId="0" borderId="0" xfId="0" applyFont="1" applyBorder="1" applyAlignment="1">
      <alignment horizontal="center" vertical="center" wrapText="1"/>
    </xf>
    <xf numFmtId="0" fontId="0" fillId="0" borderId="0" xfId="0" applyFont="1" applyBorder="1" applyAlignment="1">
      <alignment vertical="center" wrapText="1"/>
    </xf>
    <xf numFmtId="0" fontId="0" fillId="4" borderId="0" xfId="0" applyFont="1" applyFill="1" applyBorder="1" applyAlignment="1">
      <alignment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4" fillId="4" borderId="0" xfId="0" applyFont="1" applyFill="1" applyAlignment="1">
      <alignment vertical="center" wrapText="1"/>
    </xf>
    <xf numFmtId="0" fontId="5" fillId="4" borderId="0" xfId="0" applyFont="1" applyFill="1" applyAlignment="1">
      <alignment vertical="center" wrapText="1"/>
    </xf>
    <xf numFmtId="14" fontId="0" fillId="0" borderId="1" xfId="0" applyNumberFormat="1"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14" fontId="0" fillId="0" borderId="1" xfId="0" applyNumberFormat="1" applyBorder="1"/>
    <xf numFmtId="0" fontId="0" fillId="0" borderId="1" xfId="0" applyBorder="1" applyAlignment="1">
      <alignment vertical="center" wrapText="1"/>
    </xf>
    <xf numFmtId="0" fontId="0" fillId="4" borderId="1" xfId="0" applyFont="1" applyFill="1" applyBorder="1" applyAlignment="1">
      <alignment vertical="center" wrapText="1"/>
    </xf>
    <xf numFmtId="0" fontId="7" fillId="0" borderId="0" xfId="0" applyFont="1" applyBorder="1"/>
    <xf numFmtId="0" fontId="8" fillId="0" borderId="6" xfId="0" applyFont="1" applyBorder="1" applyAlignment="1">
      <alignment horizontal="left" vertical="top" wrapText="1"/>
    </xf>
    <xf numFmtId="0" fontId="8" fillId="0" borderId="7" xfId="0" applyFont="1" applyBorder="1" applyAlignment="1">
      <alignment horizontal="left" vertical="top" wrapText="1"/>
    </xf>
    <xf numFmtId="0" fontId="9" fillId="0" borderId="1" xfId="0" applyFont="1" applyBorder="1" applyAlignment="1">
      <alignment horizontal="left" vertical="top" wrapText="1"/>
    </xf>
    <xf numFmtId="15" fontId="9" fillId="0" borderId="1" xfId="0" applyNumberFormat="1" applyFont="1" applyBorder="1" applyAlignment="1">
      <alignment horizontal="left" vertical="top" wrapText="1"/>
    </xf>
    <xf numFmtId="0" fontId="11" fillId="0" borderId="0" xfId="0" applyFont="1"/>
    <xf numFmtId="0" fontId="14" fillId="0" borderId="0" xfId="2" applyFont="1" applyBorder="1"/>
    <xf numFmtId="0" fontId="15" fillId="0" borderId="0" xfId="2" applyFont="1" applyBorder="1"/>
    <xf numFmtId="0" fontId="16" fillId="0" borderId="0" xfId="2" applyFont="1" applyBorder="1"/>
    <xf numFmtId="0" fontId="18" fillId="0" borderId="0" xfId="2" applyFont="1" applyBorder="1" applyAlignment="1">
      <alignment horizontal="center" vertical="center"/>
    </xf>
    <xf numFmtId="0" fontId="19" fillId="0" borderId="0" xfId="2" applyFont="1" applyBorder="1" applyAlignment="1">
      <alignment horizontal="left"/>
    </xf>
    <xf numFmtId="0" fontId="21" fillId="0" borderId="0" xfId="2" applyFont="1" applyBorder="1" applyAlignment="1">
      <alignment horizontal="left" indent="1"/>
    </xf>
    <xf numFmtId="0" fontId="15" fillId="0" borderId="0" xfId="2" applyFont="1" applyBorder="1" applyAlignment="1">
      <alignment horizontal="left"/>
    </xf>
    <xf numFmtId="0" fontId="16" fillId="0" borderId="0" xfId="2" applyFont="1" applyBorder="1" applyAlignment="1">
      <alignment horizontal="left"/>
    </xf>
    <xf numFmtId="49" fontId="23" fillId="0" borderId="0" xfId="2" applyNumberFormat="1" applyFont="1" applyBorder="1"/>
    <xf numFmtId="0" fontId="1" fillId="11" borderId="1" xfId="0" applyFont="1" applyFill="1" applyBorder="1" applyAlignment="1">
      <alignment vertical="center" wrapText="1"/>
    </xf>
    <xf numFmtId="0" fontId="1" fillId="3" borderId="1" xfId="0" applyFont="1" applyFill="1" applyBorder="1" applyAlignment="1">
      <alignment horizontal="center" vertical="center" wrapText="1"/>
    </xf>
    <xf numFmtId="0" fontId="1" fillId="3" borderId="8" xfId="0" applyFont="1" applyFill="1" applyBorder="1" applyAlignment="1">
      <alignment vertical="center" wrapText="1"/>
    </xf>
    <xf numFmtId="0" fontId="0" fillId="4" borderId="1" xfId="0" applyFont="1" applyFill="1" applyBorder="1" applyAlignment="1">
      <alignment vertical="center" wrapText="1"/>
    </xf>
    <xf numFmtId="0" fontId="0" fillId="0" borderId="0" xfId="0" applyAlignment="1"/>
    <xf numFmtId="0" fontId="0" fillId="0" borderId="1" xfId="0" applyBorder="1" applyAlignment="1">
      <alignment vertical="center" wrapText="1"/>
    </xf>
    <xf numFmtId="0" fontId="17" fillId="0" borderId="0" xfId="2" applyFont="1" applyBorder="1" applyAlignment="1">
      <alignment horizontal="center" vertical="center"/>
    </xf>
    <xf numFmtId="0" fontId="18" fillId="0" borderId="0" xfId="2" applyFont="1" applyBorder="1" applyAlignment="1">
      <alignment horizontal="center" vertical="center"/>
    </xf>
    <xf numFmtId="0" fontId="20" fillId="0" borderId="0" xfId="2" applyFont="1" applyBorder="1" applyAlignment="1">
      <alignment horizontal="center"/>
    </xf>
    <xf numFmtId="0" fontId="22" fillId="0" borderId="0" xfId="2" applyFont="1" applyBorder="1" applyAlignment="1">
      <alignment horizontal="center"/>
    </xf>
    <xf numFmtId="0" fontId="15" fillId="0" borderId="0" xfId="2" applyFont="1" applyBorder="1" applyAlignment="1">
      <alignment horizontal="left"/>
    </xf>
    <xf numFmtId="0" fontId="11" fillId="0" borderId="0" xfId="0" applyFont="1" applyAlignment="1">
      <alignment vertical="center"/>
    </xf>
    <xf numFmtId="0" fontId="0" fillId="0" borderId="0" xfId="0" applyAlignment="1"/>
    <xf numFmtId="0" fontId="6" fillId="0" borderId="5" xfId="0" applyFont="1" applyBorder="1" applyAlignment="1">
      <alignment horizontal="left"/>
    </xf>
    <xf numFmtId="0" fontId="10" fillId="0" borderId="0" xfId="0" applyFont="1" applyAlignment="1">
      <alignment horizontal="left" vertical="center"/>
    </xf>
    <xf numFmtId="0" fontId="0" fillId="0" borderId="0" xfId="0" applyAlignment="1">
      <alignment horizontal="left"/>
    </xf>
    <xf numFmtId="0" fontId="12" fillId="0" borderId="0" xfId="1" applyAlignment="1">
      <alignment vertical="center" wrapText="1"/>
    </xf>
    <xf numFmtId="0" fontId="12" fillId="0" borderId="0" xfId="1" applyAlignment="1">
      <alignment wrapText="1"/>
    </xf>
    <xf numFmtId="0" fontId="0" fillId="0" borderId="2"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0" fillId="4" borderId="2" xfId="0" applyFont="1" applyFill="1" applyBorder="1" applyAlignment="1">
      <alignment vertical="center" wrapText="1"/>
    </xf>
    <xf numFmtId="0" fontId="0" fillId="0" borderId="3" xfId="0" applyFont="1" applyBorder="1" applyAlignment="1">
      <alignment vertical="center" wrapText="1"/>
    </xf>
    <xf numFmtId="0" fontId="0" fillId="0" borderId="4" xfId="0" applyFont="1"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0" fontId="0" fillId="0" borderId="2" xfId="0" applyFont="1" applyBorder="1" applyAlignment="1">
      <alignment vertical="center" wrapText="1"/>
    </xf>
    <xf numFmtId="0" fontId="0" fillId="0" borderId="1" xfId="0" applyBorder="1" applyAlignment="1"/>
    <xf numFmtId="0" fontId="1" fillId="2" borderId="1" xfId="0" applyFont="1" applyFill="1" applyBorder="1" applyAlignment="1"/>
    <xf numFmtId="0" fontId="0" fillId="4" borderId="3" xfId="0" applyFont="1" applyFill="1" applyBorder="1" applyAlignment="1">
      <alignment vertical="center" wrapText="1"/>
    </xf>
    <xf numFmtId="0" fontId="0" fillId="4" borderId="4" xfId="0" applyFont="1" applyFill="1" applyBorder="1" applyAlignment="1">
      <alignment vertical="center" wrapText="1"/>
    </xf>
    <xf numFmtId="0" fontId="0" fillId="0" borderId="1" xfId="0" applyBorder="1" applyAlignment="1">
      <alignment wrapText="1"/>
    </xf>
    <xf numFmtId="0" fontId="0" fillId="4" borderId="1" xfId="0" applyFont="1" applyFill="1" applyBorder="1" applyAlignment="1">
      <alignment vertical="center" wrapText="1"/>
    </xf>
    <xf numFmtId="0" fontId="0" fillId="0" borderId="1" xfId="0" applyFont="1" applyBorder="1" applyAlignment="1">
      <alignment vertical="center" wrapText="1"/>
    </xf>
    <xf numFmtId="0" fontId="0" fillId="4" borderId="2" xfId="0" applyFont="1" applyFill="1"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cellXfs>
  <cellStyles count="3">
    <cellStyle name="Hyperlink" xfId="1" builtinId="8"/>
    <cellStyle name="Normal" xfId="0" builtinId="0"/>
    <cellStyle name="Normal 2" xfId="2"/>
  </cellStyles>
  <dxfs count="2">
    <dxf>
      <font>
        <color rgb="FF00B050"/>
      </font>
    </dxf>
    <dxf>
      <font>
        <color rgb="FFFF000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vuppala\Downloads\N20000-PR-000307-R0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Revision History"/>
      <sheetName val="Summary"/>
      <sheetName val="ACT-01"/>
      <sheetName val="ACT-02"/>
      <sheetName val="ACT-03"/>
      <sheetName val="ACT-04"/>
      <sheetName val="ACT-05"/>
      <sheetName val="ACT-06"/>
      <sheetName val="ACT-07"/>
      <sheetName val="ACT-08"/>
      <sheetName val="ACT-09"/>
      <sheetName val="ACT-10"/>
      <sheetName val="ACT-11"/>
      <sheetName val="NTS-01"/>
      <sheetName val="NTS-02"/>
      <sheetName val="SFT-01"/>
      <sheetName val="SFT-02"/>
      <sheetName val="LNK-01"/>
      <sheetName val="CAC-01"/>
      <sheetName val="CAC-02"/>
      <sheetName val="CAC-03"/>
      <sheetName val="REP-01"/>
      <sheetName val="REP-02"/>
      <sheetName val="REP-03"/>
      <sheetName val="REP-04"/>
      <sheetName val="ADM-01"/>
      <sheetName val="ADM-02"/>
      <sheetName val="ADM-03"/>
      <sheetName val="ADM-04"/>
      <sheetName val="PRF-01"/>
      <sheetName val="PRF-02"/>
      <sheetName val="HLP-01"/>
      <sheetName val="API-01"/>
      <sheetName val="API-02"/>
      <sheetName val="API-03"/>
      <sheetName val="API-04"/>
      <sheetName val="SEC-01"/>
      <sheetName val="SEC-02"/>
      <sheetName val="PER-01"/>
      <sheetName val="PER-02"/>
      <sheetName val="DEF-01"/>
    </sheetNames>
    <sheetDataSet>
      <sheetData sheetId="0"/>
      <sheetData sheetId="1"/>
      <sheetData sheetId="2">
        <row r="2">
          <cell r="A2" t="str">
            <v>PASS</v>
          </cell>
        </row>
        <row r="3">
          <cell r="A3" t="str">
            <v>FAIL</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44"/>
  <sheetViews>
    <sheetView view="pageLayout" zoomScaleNormal="100" workbookViewId="0">
      <selection activeCell="D1" sqref="D1"/>
    </sheetView>
  </sheetViews>
  <sheetFormatPr defaultRowHeight="15" x14ac:dyDescent="0.25"/>
  <cols>
    <col min="9" max="9" width="12.85546875" customWidth="1"/>
  </cols>
  <sheetData>
    <row r="1" spans="1:10" ht="15.75" x14ac:dyDescent="0.25">
      <c r="A1" s="49"/>
      <c r="B1" s="50"/>
      <c r="C1" s="50"/>
      <c r="D1" s="51"/>
      <c r="E1" s="51"/>
      <c r="F1" s="51"/>
      <c r="G1" s="51"/>
      <c r="H1" s="51"/>
      <c r="I1" s="49"/>
    </row>
    <row r="2" spans="1:10" x14ac:dyDescent="0.25">
      <c r="A2" s="49"/>
      <c r="B2" s="51"/>
      <c r="C2" s="51"/>
      <c r="D2" s="51"/>
      <c r="E2" s="51"/>
      <c r="F2" s="51"/>
      <c r="G2" s="51"/>
      <c r="H2" s="51"/>
      <c r="I2" s="49"/>
    </row>
    <row r="3" spans="1:10" x14ac:dyDescent="0.25">
      <c r="A3" s="49"/>
      <c r="B3" s="49"/>
      <c r="C3" s="49"/>
      <c r="D3" s="51"/>
      <c r="E3" s="51"/>
      <c r="F3" s="51"/>
      <c r="G3" s="51"/>
      <c r="H3" s="51"/>
      <c r="I3" s="49"/>
    </row>
    <row r="4" spans="1:10" x14ac:dyDescent="0.25">
      <c r="A4" s="49"/>
      <c r="B4" s="51"/>
      <c r="C4" s="51"/>
      <c r="D4" s="51"/>
      <c r="E4" s="51"/>
      <c r="F4" s="51"/>
      <c r="G4" s="51"/>
      <c r="H4" s="51"/>
      <c r="I4" s="49"/>
    </row>
    <row r="5" spans="1:10" ht="30" customHeight="1" x14ac:dyDescent="0.25">
      <c r="A5" s="64" t="s">
        <v>470</v>
      </c>
      <c r="B5" s="65"/>
      <c r="C5" s="65"/>
      <c r="D5" s="65"/>
      <c r="E5" s="65"/>
      <c r="F5" s="65"/>
      <c r="G5" s="65"/>
      <c r="H5" s="65"/>
      <c r="I5" s="65"/>
      <c r="J5" s="52"/>
    </row>
    <row r="6" spans="1:10" ht="15.75" x14ac:dyDescent="0.25">
      <c r="A6" s="49"/>
      <c r="B6" s="49"/>
      <c r="C6" s="49"/>
      <c r="D6" s="49"/>
      <c r="E6" s="53"/>
      <c r="F6" s="53"/>
      <c r="G6" s="51"/>
      <c r="H6" s="51"/>
      <c r="I6" s="49"/>
    </row>
    <row r="7" spans="1:10" ht="18" x14ac:dyDescent="0.25">
      <c r="A7" s="66" t="s">
        <v>577</v>
      </c>
      <c r="B7" s="66"/>
      <c r="C7" s="66"/>
      <c r="D7" s="66"/>
      <c r="E7" s="66"/>
      <c r="F7" s="66"/>
      <c r="G7" s="66"/>
      <c r="H7" s="66"/>
      <c r="I7" s="66"/>
    </row>
    <row r="8" spans="1:10" x14ac:dyDescent="0.25">
      <c r="A8" s="49"/>
      <c r="B8" s="54"/>
      <c r="C8" s="54"/>
      <c r="D8" s="49"/>
      <c r="E8" s="51"/>
      <c r="F8" s="51"/>
      <c r="G8" s="51"/>
      <c r="H8" s="51"/>
      <c r="I8" s="49"/>
    </row>
    <row r="9" spans="1:10" ht="18" x14ac:dyDescent="0.25">
      <c r="A9" s="67" t="s">
        <v>578</v>
      </c>
      <c r="B9" s="67"/>
      <c r="C9" s="67"/>
      <c r="D9" s="67"/>
      <c r="E9" s="67"/>
      <c r="F9" s="67"/>
      <c r="G9" s="67"/>
      <c r="H9" s="67"/>
      <c r="I9" s="67"/>
    </row>
    <row r="10" spans="1:10" x14ac:dyDescent="0.25">
      <c r="A10" s="49"/>
      <c r="B10" s="51"/>
      <c r="C10" s="51"/>
      <c r="D10" s="51"/>
      <c r="E10" s="51"/>
      <c r="F10" s="51"/>
      <c r="G10" s="51"/>
      <c r="H10" s="51"/>
      <c r="I10" s="49"/>
    </row>
    <row r="11" spans="1:10" x14ac:dyDescent="0.25">
      <c r="A11" s="49"/>
      <c r="B11" s="51"/>
      <c r="C11" s="51"/>
      <c r="D11" s="51"/>
      <c r="E11" s="51"/>
      <c r="F11" s="51"/>
      <c r="G11" s="51"/>
      <c r="H11" s="51"/>
      <c r="I11" s="49"/>
    </row>
    <row r="12" spans="1:10" ht="15.75" x14ac:dyDescent="0.25">
      <c r="A12" s="55" t="s">
        <v>579</v>
      </c>
      <c r="B12" s="55"/>
      <c r="C12" s="51"/>
      <c r="D12" s="51"/>
      <c r="E12" s="51"/>
      <c r="F12" s="68" t="s">
        <v>580</v>
      </c>
      <c r="G12" s="68"/>
      <c r="H12" s="51"/>
      <c r="I12" s="49"/>
    </row>
    <row r="13" spans="1:10" x14ac:dyDescent="0.25">
      <c r="A13" s="49"/>
      <c r="B13" s="51"/>
      <c r="C13" s="51"/>
      <c r="D13" s="51"/>
      <c r="E13" s="51"/>
      <c r="F13" s="51"/>
      <c r="G13" s="49"/>
      <c r="H13" s="51"/>
      <c r="I13" s="49"/>
    </row>
    <row r="14" spans="1:10" x14ac:dyDescent="0.25">
      <c r="A14" s="49"/>
      <c r="B14" s="51"/>
      <c r="C14" s="51"/>
      <c r="D14" s="51"/>
      <c r="E14" s="51"/>
      <c r="F14" s="51"/>
      <c r="G14" s="49"/>
      <c r="H14" s="51"/>
      <c r="I14" s="49"/>
    </row>
    <row r="15" spans="1:10" x14ac:dyDescent="0.25">
      <c r="A15" s="49"/>
      <c r="B15" s="51"/>
      <c r="C15" s="51"/>
      <c r="D15" s="51"/>
      <c r="E15" s="51"/>
      <c r="F15" s="51"/>
      <c r="G15" s="49"/>
      <c r="H15" s="51"/>
      <c r="I15" s="49"/>
    </row>
    <row r="16" spans="1:10" x14ac:dyDescent="0.25">
      <c r="A16" s="49"/>
      <c r="B16" s="49"/>
      <c r="C16" s="49"/>
      <c r="D16" s="51"/>
      <c r="E16" s="51"/>
      <c r="F16" s="51"/>
      <c r="G16" s="49"/>
      <c r="H16" s="51"/>
      <c r="I16" s="49"/>
    </row>
    <row r="17" spans="1:9" x14ac:dyDescent="0.25">
      <c r="A17" s="49"/>
      <c r="B17" s="49"/>
      <c r="C17" s="49"/>
      <c r="D17" s="51"/>
      <c r="E17" s="51"/>
      <c r="F17" s="51"/>
      <c r="G17" s="49"/>
      <c r="H17" s="51"/>
      <c r="I17" s="49"/>
    </row>
    <row r="18" spans="1:9" x14ac:dyDescent="0.25">
      <c r="A18" s="49"/>
      <c r="B18" s="49"/>
      <c r="C18" s="49"/>
      <c r="D18" s="51"/>
      <c r="E18" s="51"/>
      <c r="F18" s="51"/>
      <c r="G18" s="49"/>
      <c r="H18" s="51"/>
      <c r="I18" s="49"/>
    </row>
    <row r="19" spans="1:9" x14ac:dyDescent="0.25">
      <c r="A19" s="49"/>
      <c r="B19" s="49"/>
      <c r="C19" s="49"/>
      <c r="D19" s="51"/>
      <c r="E19" s="51"/>
      <c r="F19" s="51"/>
      <c r="G19" s="49"/>
      <c r="H19" s="51"/>
      <c r="I19" s="49"/>
    </row>
    <row r="20" spans="1:9" x14ac:dyDescent="0.25">
      <c r="A20" s="49"/>
      <c r="B20" s="49"/>
      <c r="C20" s="49"/>
      <c r="D20" s="51"/>
      <c r="E20" s="51"/>
      <c r="F20" s="51"/>
      <c r="G20" s="49"/>
      <c r="H20" s="51"/>
      <c r="I20" s="49"/>
    </row>
    <row r="21" spans="1:9" x14ac:dyDescent="0.25">
      <c r="A21" s="49"/>
      <c r="B21" s="51"/>
      <c r="C21" s="51"/>
      <c r="D21" s="49"/>
      <c r="E21" s="51"/>
      <c r="F21" s="51"/>
      <c r="G21" s="49"/>
      <c r="H21" s="51"/>
      <c r="I21" s="49"/>
    </row>
    <row r="22" spans="1:9" x14ac:dyDescent="0.25">
      <c r="A22" s="49"/>
      <c r="B22" s="49"/>
      <c r="C22" s="49"/>
      <c r="D22" s="51"/>
      <c r="E22" s="51"/>
      <c r="F22" s="51"/>
      <c r="G22" s="49"/>
      <c r="H22" s="51"/>
      <c r="I22" s="49"/>
    </row>
    <row r="23" spans="1:9" x14ac:dyDescent="0.25">
      <c r="A23" s="49"/>
      <c r="B23" s="54"/>
      <c r="C23" s="54"/>
      <c r="D23" s="51"/>
      <c r="E23" s="51"/>
      <c r="F23" s="51"/>
      <c r="G23" s="49"/>
      <c r="H23" s="51"/>
      <c r="I23" s="49"/>
    </row>
    <row r="24" spans="1:9" x14ac:dyDescent="0.25">
      <c r="A24" s="49"/>
      <c r="B24" s="49"/>
      <c r="C24" s="49"/>
      <c r="D24" s="51"/>
      <c r="E24" s="51"/>
      <c r="F24" s="51"/>
      <c r="G24" s="49"/>
      <c r="H24" s="51"/>
      <c r="I24" s="49"/>
    </row>
    <row r="25" spans="1:9" x14ac:dyDescent="0.25">
      <c r="A25" s="49"/>
      <c r="B25" s="51"/>
      <c r="C25" s="51"/>
      <c r="D25" s="51"/>
      <c r="E25" s="51"/>
      <c r="F25" s="51"/>
      <c r="G25" s="49"/>
      <c r="H25" s="51"/>
      <c r="I25" s="49"/>
    </row>
    <row r="26" spans="1:9" x14ac:dyDescent="0.25">
      <c r="A26" s="49"/>
      <c r="B26" s="56"/>
      <c r="C26" s="56"/>
      <c r="D26" s="51"/>
      <c r="E26" s="51"/>
      <c r="F26" s="51"/>
      <c r="G26" s="49"/>
      <c r="H26" s="51"/>
      <c r="I26" s="49"/>
    </row>
    <row r="27" spans="1:9" x14ac:dyDescent="0.25">
      <c r="A27" s="49"/>
      <c r="B27" s="51"/>
      <c r="C27" s="51"/>
      <c r="D27" s="51"/>
      <c r="E27" s="51"/>
      <c r="F27" s="51"/>
      <c r="G27" s="49"/>
      <c r="H27" s="51"/>
      <c r="I27" s="49"/>
    </row>
    <row r="28" spans="1:9" x14ac:dyDescent="0.25">
      <c r="A28" s="49"/>
      <c r="B28" s="51"/>
      <c r="C28" s="51"/>
      <c r="D28" s="51"/>
      <c r="E28" s="51"/>
      <c r="F28" s="51"/>
      <c r="G28" s="49"/>
      <c r="H28" s="51"/>
      <c r="I28" s="49"/>
    </row>
    <row r="29" spans="1:9" x14ac:dyDescent="0.25">
      <c r="A29" s="49"/>
      <c r="B29" s="51"/>
      <c r="C29" s="51"/>
      <c r="D29" s="51"/>
      <c r="E29" s="51"/>
      <c r="F29" s="51"/>
      <c r="G29" s="49"/>
      <c r="H29" s="51"/>
      <c r="I29" s="49"/>
    </row>
    <row r="30" spans="1:9" x14ac:dyDescent="0.25">
      <c r="A30" s="49"/>
      <c r="B30" s="51"/>
      <c r="C30" s="51"/>
      <c r="D30" s="51"/>
      <c r="E30" s="51"/>
      <c r="F30" s="51"/>
      <c r="G30" s="49"/>
      <c r="H30" s="51"/>
      <c r="I30" s="49"/>
    </row>
    <row r="31" spans="1:9" x14ac:dyDescent="0.25">
      <c r="A31" s="49"/>
      <c r="B31" s="51"/>
      <c r="C31" s="51"/>
      <c r="D31" s="51"/>
      <c r="E31" s="51"/>
      <c r="F31" s="51"/>
      <c r="G31" s="49"/>
      <c r="H31" s="51"/>
      <c r="I31" s="49"/>
    </row>
    <row r="32" spans="1:9" x14ac:dyDescent="0.25">
      <c r="A32" s="49"/>
      <c r="B32" s="51"/>
      <c r="C32" s="51"/>
      <c r="D32" s="51"/>
      <c r="E32" s="51"/>
      <c r="F32" s="51"/>
      <c r="G32" s="49"/>
      <c r="H32" s="51"/>
      <c r="I32" s="49"/>
    </row>
    <row r="33" spans="1:9" x14ac:dyDescent="0.25">
      <c r="A33" s="49"/>
      <c r="B33" s="51"/>
      <c r="C33" s="51"/>
      <c r="D33" s="51"/>
      <c r="E33" s="51"/>
      <c r="F33" s="51"/>
      <c r="G33" s="49"/>
      <c r="H33" s="51"/>
      <c r="I33" s="49"/>
    </row>
    <row r="34" spans="1:9" x14ac:dyDescent="0.25">
      <c r="A34" s="49"/>
      <c r="B34" s="51"/>
      <c r="C34" s="51"/>
      <c r="D34" s="51"/>
      <c r="E34" s="51"/>
      <c r="F34" s="51"/>
      <c r="G34" s="49"/>
      <c r="H34" s="51"/>
      <c r="I34" s="49"/>
    </row>
    <row r="35" spans="1:9" x14ac:dyDescent="0.25">
      <c r="A35" s="49"/>
      <c r="B35" s="51"/>
      <c r="C35" s="51"/>
      <c r="D35" s="51"/>
      <c r="E35" s="51"/>
      <c r="F35" s="51"/>
      <c r="G35" s="49"/>
      <c r="H35" s="51"/>
      <c r="I35" s="49"/>
    </row>
    <row r="36" spans="1:9" x14ac:dyDescent="0.25">
      <c r="A36" s="49"/>
      <c r="B36" s="51"/>
      <c r="C36" s="51"/>
      <c r="D36" s="51"/>
      <c r="E36" s="51"/>
      <c r="F36" s="51"/>
      <c r="G36" s="49"/>
      <c r="H36" s="51"/>
      <c r="I36" s="49"/>
    </row>
    <row r="37" spans="1:9" x14ac:dyDescent="0.25">
      <c r="A37" s="49"/>
      <c r="B37" s="51"/>
      <c r="C37" s="51"/>
      <c r="D37" s="51"/>
      <c r="E37" s="51"/>
      <c r="F37" s="51"/>
      <c r="G37" s="49"/>
      <c r="H37" s="51"/>
      <c r="I37" s="49"/>
    </row>
    <row r="38" spans="1:9" x14ac:dyDescent="0.25">
      <c r="A38" s="49"/>
      <c r="B38" s="51"/>
      <c r="C38" s="51"/>
      <c r="D38" s="51"/>
      <c r="E38" s="51"/>
      <c r="F38" s="51"/>
      <c r="G38" s="51"/>
      <c r="H38" s="51"/>
      <c r="I38" s="49"/>
    </row>
    <row r="39" spans="1:9" x14ac:dyDescent="0.25">
      <c r="A39" s="49"/>
      <c r="B39" s="49"/>
      <c r="C39" s="49"/>
      <c r="D39" s="51"/>
      <c r="E39" s="51"/>
      <c r="F39" s="51"/>
      <c r="G39" s="51"/>
      <c r="H39" s="51"/>
      <c r="I39" s="49"/>
    </row>
    <row r="40" spans="1:9" x14ac:dyDescent="0.25">
      <c r="A40" s="49"/>
      <c r="B40" s="51"/>
      <c r="C40" s="51"/>
      <c r="D40" s="51"/>
      <c r="E40" s="51"/>
      <c r="F40" s="51"/>
      <c r="G40" s="51"/>
      <c r="H40" s="51"/>
      <c r="I40" s="49"/>
    </row>
    <row r="41" spans="1:9" x14ac:dyDescent="0.25">
      <c r="A41" s="49"/>
      <c r="B41" s="49"/>
      <c r="C41" s="49"/>
      <c r="D41" s="49"/>
      <c r="E41" s="49"/>
      <c r="F41" s="49"/>
      <c r="G41" s="49"/>
      <c r="H41" s="49"/>
      <c r="I41" s="49"/>
    </row>
    <row r="42" spans="1:9" x14ac:dyDescent="0.25">
      <c r="A42" s="49"/>
      <c r="B42" s="57"/>
      <c r="C42" s="57"/>
      <c r="D42" s="49"/>
      <c r="E42" s="49"/>
      <c r="F42" s="49"/>
      <c r="G42" s="49"/>
      <c r="H42" s="49"/>
      <c r="I42" s="49"/>
    </row>
    <row r="43" spans="1:9" x14ac:dyDescent="0.25">
      <c r="A43" s="49"/>
      <c r="B43" s="49"/>
      <c r="C43" s="49"/>
      <c r="D43" s="49"/>
      <c r="E43" s="49"/>
      <c r="F43" s="49"/>
      <c r="G43" s="49"/>
      <c r="H43" s="49"/>
      <c r="I43" s="49"/>
    </row>
    <row r="44" spans="1:9" x14ac:dyDescent="0.25">
      <c r="A44" s="49"/>
      <c r="B44" s="49"/>
      <c r="C44" s="49"/>
      <c r="D44" s="49"/>
      <c r="E44" s="49"/>
      <c r="F44" s="49"/>
      <c r="G44" s="49"/>
      <c r="H44" s="49"/>
      <c r="I44" s="49"/>
    </row>
  </sheetData>
  <mergeCells count="4">
    <mergeCell ref="A5:I5"/>
    <mergeCell ref="A7:I7"/>
    <mergeCell ref="A9:I9"/>
    <mergeCell ref="F12:G12"/>
  </mergeCells>
  <pageMargins left="0.7" right="0.7" top="0.75" bottom="0.75" header="0.3" footer="0.3"/>
  <pageSetup orientation="portrait" r:id="rId1"/>
  <headerFooter>
    <oddHeader>&amp;L&amp;"Arial,Regular"&amp;10Facility for Rare Isotope Beams&amp;"-,Regular"&amp;11
&amp;"Arial,Italic"&amp;10Hour Log Test Suite&amp;R&amp;"Arial,Regular"&amp;10FRIB-N20000-PR-000307-R001 
Issued 24 March 2015</oddHeader>
    <oddFooter>&amp;C&amp;G</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6:D15"/>
  <sheetViews>
    <sheetView view="pageLayout" zoomScaleNormal="100" workbookViewId="0">
      <selection activeCell="C9" sqref="C9"/>
    </sheetView>
  </sheetViews>
  <sheetFormatPr defaultRowHeight="15" x14ac:dyDescent="0.25"/>
  <cols>
    <col min="1" max="1" width="14.85546875" customWidth="1"/>
    <col min="2" max="2" width="18.28515625" customWidth="1"/>
    <col min="3" max="3" width="40.140625" customWidth="1"/>
  </cols>
  <sheetData>
    <row r="6" spans="1:4" s="43" customFormat="1" ht="21" thickBot="1" x14ac:dyDescent="0.35">
      <c r="A6" s="71" t="s">
        <v>567</v>
      </c>
      <c r="B6" s="71"/>
      <c r="C6" s="71"/>
    </row>
    <row r="7" spans="1:4" s="43" customFormat="1" x14ac:dyDescent="0.25">
      <c r="A7" s="44" t="s">
        <v>568</v>
      </c>
      <c r="B7" s="45" t="s">
        <v>569</v>
      </c>
      <c r="C7" s="45" t="s">
        <v>570</v>
      </c>
    </row>
    <row r="8" spans="1:4" s="43" customFormat="1" x14ac:dyDescent="0.25">
      <c r="A8" s="46" t="s">
        <v>571</v>
      </c>
      <c r="B8" s="47">
        <v>42087</v>
      </c>
      <c r="C8" s="46" t="s">
        <v>572</v>
      </c>
    </row>
    <row r="9" spans="1:4" x14ac:dyDescent="0.25">
      <c r="A9" s="46" t="s">
        <v>610</v>
      </c>
      <c r="B9" s="47">
        <v>42256</v>
      </c>
      <c r="C9" s="46" t="s">
        <v>611</v>
      </c>
    </row>
    <row r="10" spans="1:4" ht="20.25" x14ac:dyDescent="0.25">
      <c r="A10" s="72" t="s">
        <v>573</v>
      </c>
      <c r="B10" s="73"/>
    </row>
    <row r="11" spans="1:4" ht="15.75" x14ac:dyDescent="0.25">
      <c r="A11" s="48" t="s">
        <v>574</v>
      </c>
      <c r="C11" s="74"/>
      <c r="D11" s="75"/>
    </row>
    <row r="12" spans="1:4" ht="20.25" x14ac:dyDescent="0.25">
      <c r="A12" s="72" t="s">
        <v>575</v>
      </c>
      <c r="B12" s="73"/>
    </row>
    <row r="13" spans="1:4" ht="15.75" x14ac:dyDescent="0.25">
      <c r="A13" s="69" t="s">
        <v>574</v>
      </c>
      <c r="B13" s="70"/>
      <c r="C13" s="70"/>
    </row>
    <row r="14" spans="1:4" ht="20.25" x14ac:dyDescent="0.25">
      <c r="A14" s="72" t="s">
        <v>576</v>
      </c>
      <c r="B14" s="73"/>
      <c r="C14" s="73"/>
    </row>
    <row r="15" spans="1:4" ht="15.75" x14ac:dyDescent="0.25">
      <c r="A15" s="69" t="s">
        <v>574</v>
      </c>
      <c r="B15" s="70"/>
      <c r="C15" s="70"/>
    </row>
  </sheetData>
  <mergeCells count="7">
    <mergeCell ref="A15:C15"/>
    <mergeCell ref="A6:C6"/>
    <mergeCell ref="A10:B10"/>
    <mergeCell ref="C11:D11"/>
    <mergeCell ref="A12:B12"/>
    <mergeCell ref="A13:C13"/>
    <mergeCell ref="A14:C14"/>
  </mergeCells>
  <pageMargins left="0.7" right="0.7" top="0.75" bottom="0.75" header="0.3" footer="0.3"/>
  <pageSetup orientation="portrait" r:id="rId1"/>
  <headerFooter>
    <oddHeader>&amp;L&amp;"Arial,Regular"&amp;10Facility for Rare Isotope Beams
National Superconducting Cyclotron Laboratory
&amp;"Arial,Italic"Hour Log Test Suite&amp;R&amp;"Arial,Regular"&amp;10FRIB-N20000-PR-000307-R001 Page &amp;P-1 of &amp;N-1
Issued 24 March 2015</oddHeader>
    <oddFooter>&amp;C&amp;G</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49"/>
  <sheetViews>
    <sheetView topLeftCell="B19" zoomScaleNormal="100" workbookViewId="0">
      <selection activeCell="K4" sqref="K4"/>
    </sheetView>
  </sheetViews>
  <sheetFormatPr defaultRowHeight="15" x14ac:dyDescent="0.25"/>
  <cols>
    <col min="1" max="1" width="9.140625" style="6" hidden="1" customWidth="1"/>
    <col min="2" max="2" width="11.85546875" style="6" customWidth="1"/>
    <col min="3" max="3" width="9.140625" style="34"/>
    <col min="4" max="4" width="9" style="6" customWidth="1"/>
    <col min="5" max="5" width="9.28515625" style="6" customWidth="1"/>
    <col min="6" max="6" width="21.7109375" style="6" customWidth="1"/>
    <col min="7" max="7" width="61" style="6" customWidth="1"/>
    <col min="8" max="8" width="15" style="6" customWidth="1"/>
    <col min="9" max="9" width="9.7109375" style="6" bestFit="1" customWidth="1"/>
    <col min="10" max="10" width="9.140625" style="6"/>
    <col min="11" max="11" width="9.140625" style="6" customWidth="1"/>
    <col min="12" max="12" width="50.85546875" style="6" customWidth="1"/>
    <col min="13" max="14" width="9.140625" style="6"/>
    <col min="15" max="15" width="9.140625" style="6" customWidth="1"/>
    <col min="16" max="16384" width="9.140625" style="6"/>
  </cols>
  <sheetData>
    <row r="2" spans="1:12" x14ac:dyDescent="0.25">
      <c r="G2" s="58" t="s">
        <v>581</v>
      </c>
      <c r="H2" s="58" t="s">
        <v>582</v>
      </c>
    </row>
    <row r="3" spans="1:12" x14ac:dyDescent="0.25">
      <c r="A3" s="36" t="s">
        <v>518</v>
      </c>
      <c r="C3" s="59" t="s">
        <v>469</v>
      </c>
      <c r="D3" s="7" t="s">
        <v>463</v>
      </c>
      <c r="E3" s="7" t="s">
        <v>464</v>
      </c>
      <c r="F3" s="7" t="s">
        <v>18</v>
      </c>
      <c r="G3" s="60" t="s">
        <v>517</v>
      </c>
      <c r="H3" s="60" t="s">
        <v>17</v>
      </c>
      <c r="I3" s="7" t="s">
        <v>466</v>
      </c>
      <c r="J3" s="7" t="s">
        <v>465</v>
      </c>
      <c r="K3" s="7" t="s">
        <v>13</v>
      </c>
      <c r="L3" s="7" t="s">
        <v>468</v>
      </c>
    </row>
    <row r="4" spans="1:12" x14ac:dyDescent="0.25">
      <c r="A4" s="35" t="s">
        <v>519</v>
      </c>
      <c r="C4" s="33">
        <v>1</v>
      </c>
      <c r="D4" s="41" t="str">
        <f t="shared" ref="D4:D49" ca="1" si="0">IF(ROW()&lt;=COUNTA(AllSheets),INDEX(AllSheets,ROW()),"")&amp; LEFT(RAND(),0)</f>
        <v>ACT-01</v>
      </c>
      <c r="E4" s="41" t="str">
        <f ca="1">IF($D4&lt;&gt;"",INDIRECT("'"&amp;$D4&amp;"'!"&amp;"D$4"),"")</f>
        <v>ACT-01</v>
      </c>
      <c r="F4" s="41" t="str">
        <f ca="1">IF($D4&lt;&gt;"",INDIRECT("'"&amp;$D4&amp;"'!"&amp;"$E$4"),"")</f>
        <v>Browse Log</v>
      </c>
      <c r="G4" s="41" t="str">
        <f ca="1">IF($D4&lt;&gt;"",INDIRECT("'"&amp;$D4&amp;"'!"&amp;"$D$5"),"")</f>
        <v>A user must be able able to browse log entries.</v>
      </c>
      <c r="H4" s="41" t="str">
        <f ca="1">IF($D4&lt;&gt;"",INDIRECT("'"&amp;$D4&amp;"'!"&amp;"$G$4"),"")</f>
        <v>Op Log</v>
      </c>
      <c r="I4" s="37">
        <f ca="1">IF($D4&lt;&gt;"",INDIRECT("'"&amp;$D4&amp;"'!"&amp;"$K$4"),"")</f>
        <v>42153</v>
      </c>
      <c r="J4" s="41" t="str">
        <f ca="1">IF($D4&lt;&gt;"",INDIRECT("'"&amp;$D4&amp;"'!"&amp;"$J$4"),"")</f>
        <v>VV</v>
      </c>
      <c r="K4" s="41" t="str">
        <f ca="1">IF($D4&lt;&gt;"",INDIRECT("'"&amp;$D4&amp;"'!"&amp;"$D$6"),"")</f>
        <v>FAIL</v>
      </c>
      <c r="L4" s="41" t="str">
        <f ca="1">IF($D4&lt;&gt;"",INDIRECT("'"&amp;$D4&amp;"'!"&amp;"$E$6"),"")</f>
        <v>Test Not Completed</v>
      </c>
    </row>
    <row r="5" spans="1:12" x14ac:dyDescent="0.25">
      <c r="C5" s="33">
        <v>2</v>
      </c>
      <c r="D5" s="41" t="str">
        <f t="shared" ca="1" si="0"/>
        <v>ACT-02</v>
      </c>
      <c r="E5" s="41" t="str">
        <f t="shared" ref="E5:E49" ca="1" si="1">IF($D5&lt;&gt;"",INDIRECT("'"&amp;$D5&amp;"'!"&amp;"D$4"),"")</f>
        <v>ACT-02</v>
      </c>
      <c r="F5" s="41" t="str">
        <f t="shared" ref="F5:F49" ca="1" si="2">IF($D5&lt;&gt;"",INDIRECT("'"&amp;$D5&amp;"'!"&amp;"$E$4"),"")</f>
        <v>Login</v>
      </c>
      <c r="G5" s="41" t="str">
        <f t="shared" ref="G5:G49" ca="1" si="3">IF($D5&lt;&gt;"",INDIRECT("'"&amp;$D5&amp;"'!"&amp;"$D$5"),"")</f>
        <v>A user must be authenticated (to perform certain operations)</v>
      </c>
      <c r="H5" s="41" t="str">
        <f t="shared" ref="H5:H49" ca="1" si="4">IF($D5&lt;&gt;"",INDIRECT("'"&amp;$D5&amp;"'!"&amp;"$G$4"),"")</f>
        <v>Op Log</v>
      </c>
      <c r="I5" s="37">
        <f t="shared" ref="I5:I49" ca="1" si="5">IF($D5&lt;&gt;"",INDIRECT("'"&amp;$D5&amp;"'!"&amp;"$K$4"),"")</f>
        <v>42153</v>
      </c>
      <c r="J5" s="41" t="str">
        <f t="shared" ref="J5:J49" ca="1" si="6">IF($D5&lt;&gt;"",INDIRECT("'"&amp;$D5&amp;"'!"&amp;"$J$4"),"")</f>
        <v>VV</v>
      </c>
      <c r="K5" s="41" t="str">
        <f t="shared" ref="K5:K49" ca="1" si="7">IF($D5&lt;&gt;"",INDIRECT("'"&amp;$D5&amp;"'!"&amp;"$D$6"),"")</f>
        <v>FAIL</v>
      </c>
      <c r="L5" s="41" t="str">
        <f t="shared" ref="L5:L49" ca="1" si="8">IF($D5&lt;&gt;"",INDIRECT("'"&amp;$D5&amp;"'!"&amp;"$E$6"),"")</f>
        <v>Test Not Completed</v>
      </c>
    </row>
    <row r="6" spans="1:12" x14ac:dyDescent="0.25">
      <c r="C6" s="33">
        <v>3</v>
      </c>
      <c r="D6" s="41" t="str">
        <f t="shared" ca="1" si="0"/>
        <v>ACT-03</v>
      </c>
      <c r="E6" s="41" t="str">
        <f t="shared" ca="1" si="1"/>
        <v>ACT-03</v>
      </c>
      <c r="F6" s="41" t="str">
        <f t="shared" ca="1" si="2"/>
        <v>Create Log</v>
      </c>
      <c r="G6" s="41" t="str">
        <f t="shared" ca="1" si="3"/>
        <v>An authorized user must be able to create log entries.</v>
      </c>
      <c r="H6" s="41" t="str">
        <f t="shared" ca="1" si="4"/>
        <v>Op Log</v>
      </c>
      <c r="I6" s="37">
        <f t="shared" ca="1" si="5"/>
        <v>42153</v>
      </c>
      <c r="J6" s="41" t="str">
        <f t="shared" ca="1" si="6"/>
        <v>VV</v>
      </c>
      <c r="K6" s="41" t="str">
        <f t="shared" ca="1" si="7"/>
        <v>FAIL</v>
      </c>
      <c r="L6" s="41" t="str">
        <f t="shared" ca="1" si="8"/>
        <v>Test Not Completed</v>
      </c>
    </row>
    <row r="7" spans="1:12" x14ac:dyDescent="0.25">
      <c r="C7" s="33">
        <v>4</v>
      </c>
      <c r="D7" s="41" t="str">
        <f t="shared" ca="1" si="0"/>
        <v>ACT-04</v>
      </c>
      <c r="E7" s="41" t="str">
        <f t="shared" ca="1" si="1"/>
        <v>ACT-04</v>
      </c>
      <c r="F7" s="41" t="str">
        <f t="shared" ca="1" si="2"/>
        <v>Edit  Log</v>
      </c>
      <c r="G7" s="41" t="str">
        <f t="shared" ca="1" si="3"/>
        <v>An authorized user must be able to edit a log entry</v>
      </c>
      <c r="H7" s="41" t="str">
        <f t="shared" ca="1" si="4"/>
        <v>Op Log</v>
      </c>
      <c r="I7" s="37">
        <f t="shared" ca="1" si="5"/>
        <v>42154</v>
      </c>
      <c r="J7" s="41" t="str">
        <f t="shared" ca="1" si="6"/>
        <v>VV</v>
      </c>
      <c r="K7" s="41" t="str">
        <f t="shared" ca="1" si="7"/>
        <v>FAIL</v>
      </c>
      <c r="L7" s="41" t="str">
        <f t="shared" ca="1" si="8"/>
        <v>Test Not Completed</v>
      </c>
    </row>
    <row r="8" spans="1:12" x14ac:dyDescent="0.25">
      <c r="C8" s="33">
        <v>5</v>
      </c>
      <c r="D8" s="41" t="str">
        <f t="shared" ca="1" si="0"/>
        <v>ACT-05</v>
      </c>
      <c r="E8" s="41" t="str">
        <f t="shared" ca="1" si="1"/>
        <v>ACT-05</v>
      </c>
      <c r="F8" s="41" t="str">
        <f t="shared" ca="1" si="2"/>
        <v>Change Status</v>
      </c>
      <c r="G8" s="41" t="str">
        <f t="shared" ca="1" si="3"/>
        <v>An authorized user must be able to change facility status</v>
      </c>
      <c r="H8" s="41" t="str">
        <f t="shared" ca="1" si="4"/>
        <v>Op Log</v>
      </c>
      <c r="I8" s="37">
        <f t="shared" ca="1" si="5"/>
        <v>42154</v>
      </c>
      <c r="J8" s="41" t="str">
        <f t="shared" ca="1" si="6"/>
        <v>VV</v>
      </c>
      <c r="K8" s="41" t="str">
        <f t="shared" ca="1" si="7"/>
        <v>FAIL</v>
      </c>
      <c r="L8" s="41" t="str">
        <f t="shared" ca="1" si="8"/>
        <v>Test Not Completed</v>
      </c>
    </row>
    <row r="9" spans="1:12" x14ac:dyDescent="0.25">
      <c r="C9" s="33">
        <v>6</v>
      </c>
      <c r="D9" s="41" t="str">
        <f t="shared" ca="1" si="0"/>
        <v>ACT-06</v>
      </c>
      <c r="E9" s="41" t="str">
        <f t="shared" ca="1" si="1"/>
        <v>ACT-06</v>
      </c>
      <c r="F9" s="41" t="str">
        <f t="shared" ca="1" si="2"/>
        <v>Edit  Status</v>
      </c>
      <c r="G9" s="41" t="str">
        <f t="shared" ca="1" si="3"/>
        <v>Authorized users must be able to edit facility status</v>
      </c>
      <c r="H9" s="41" t="str">
        <f t="shared" ca="1" si="4"/>
        <v>Op Log</v>
      </c>
      <c r="I9" s="37">
        <f t="shared" ca="1" si="5"/>
        <v>42154</v>
      </c>
      <c r="J9" s="41" t="str">
        <f t="shared" ca="1" si="6"/>
        <v>VV</v>
      </c>
      <c r="K9" s="41" t="str">
        <f t="shared" ca="1" si="7"/>
        <v>FAIL</v>
      </c>
      <c r="L9" s="41" t="str">
        <f t="shared" ca="1" si="8"/>
        <v>Test Not Completed</v>
      </c>
    </row>
    <row r="10" spans="1:12" x14ac:dyDescent="0.25">
      <c r="C10" s="33">
        <v>7</v>
      </c>
      <c r="D10" s="41" t="str">
        <f t="shared" ca="1" si="0"/>
        <v>ACT-07</v>
      </c>
      <c r="E10" s="41" t="str">
        <f t="shared" ca="1" si="1"/>
        <v>ACT-05</v>
      </c>
      <c r="F10" s="41" t="str">
        <f t="shared" ca="1" si="2"/>
        <v>Backdate Log</v>
      </c>
      <c r="G10" s="41" t="str">
        <f t="shared" ca="1" si="3"/>
        <v>Authorizes users must be able to backdate a log entry</v>
      </c>
      <c r="H10" s="41" t="str">
        <f t="shared" ca="1" si="4"/>
        <v>Op Log</v>
      </c>
      <c r="I10" s="37">
        <f t="shared" ca="1" si="5"/>
        <v>42154</v>
      </c>
      <c r="J10" s="41" t="str">
        <f t="shared" ca="1" si="6"/>
        <v>VV</v>
      </c>
      <c r="K10" s="41" t="str">
        <f t="shared" ca="1" si="7"/>
        <v>FAIL</v>
      </c>
      <c r="L10" s="41" t="str">
        <f t="shared" ca="1" si="8"/>
        <v>Test Not Completed</v>
      </c>
    </row>
    <row r="11" spans="1:12" ht="30" x14ac:dyDescent="0.25">
      <c r="C11" s="33">
        <v>8</v>
      </c>
      <c r="D11" s="41" t="str">
        <f t="shared" ca="1" si="0"/>
        <v>ACT-08</v>
      </c>
      <c r="E11" s="41" t="str">
        <f t="shared" ca="1" si="1"/>
        <v>ACT-08</v>
      </c>
      <c r="F11" s="41" t="str">
        <f t="shared" ca="1" si="2"/>
        <v>Backdate Edit</v>
      </c>
      <c r="G11" s="41" t="str">
        <f t="shared" ca="1" si="3"/>
        <v>Authorized users must be able to edit a log entry and change the occurrence date</v>
      </c>
      <c r="H11" s="41" t="str">
        <f t="shared" ca="1" si="4"/>
        <v>Op Log</v>
      </c>
      <c r="I11" s="37">
        <f t="shared" ca="1" si="5"/>
        <v>42154</v>
      </c>
      <c r="J11" s="41" t="str">
        <f t="shared" ca="1" si="6"/>
        <v>VV</v>
      </c>
      <c r="K11" s="41" t="str">
        <f t="shared" ca="1" si="7"/>
        <v>FAIL</v>
      </c>
      <c r="L11" s="41" t="str">
        <f t="shared" ca="1" si="8"/>
        <v>Test Not Completed</v>
      </c>
    </row>
    <row r="12" spans="1:12" ht="30" x14ac:dyDescent="0.25">
      <c r="C12" s="33">
        <v>9</v>
      </c>
      <c r="D12" s="41" t="str">
        <f t="shared" ca="1" si="0"/>
        <v>ACT-09</v>
      </c>
      <c r="E12" s="41" t="str">
        <f t="shared" ca="1" si="1"/>
        <v>ACT-09</v>
      </c>
      <c r="F12" s="41" t="str">
        <f t="shared" ca="1" si="2"/>
        <v>Remote Updates</v>
      </c>
      <c r="G12" s="41" t="str">
        <f t="shared" ca="1" si="3"/>
        <v xml:space="preserve">Hour Log views must get updated with changes made by other users </v>
      </c>
      <c r="H12" s="41" t="str">
        <f t="shared" ca="1" si="4"/>
        <v>Op Log</v>
      </c>
      <c r="I12" s="37">
        <f t="shared" ca="1" si="5"/>
        <v>42154</v>
      </c>
      <c r="J12" s="41" t="str">
        <f t="shared" ca="1" si="6"/>
        <v>VV</v>
      </c>
      <c r="K12" s="41" t="str">
        <f t="shared" ca="1" si="7"/>
        <v>FAIL</v>
      </c>
      <c r="L12" s="41" t="str">
        <f t="shared" ca="1" si="8"/>
        <v>Test Not Completed</v>
      </c>
    </row>
    <row r="13" spans="1:12" x14ac:dyDescent="0.25">
      <c r="C13" s="33">
        <v>10</v>
      </c>
      <c r="D13" s="41" t="str">
        <f t="shared" ca="1" si="0"/>
        <v>ACT-10</v>
      </c>
      <c r="E13" s="41" t="str">
        <f t="shared" ca="1" si="1"/>
        <v>ACT-10</v>
      </c>
      <c r="F13" s="41" t="str">
        <f t="shared" ca="1" si="2"/>
        <v>Concurent Updates</v>
      </c>
      <c r="G13" s="41" t="str">
        <f t="shared" ca="1" si="3"/>
        <v xml:space="preserve">Simultaenous edits to a log entry are saved properly. </v>
      </c>
      <c r="H13" s="41" t="str">
        <f t="shared" ca="1" si="4"/>
        <v>Op Log</v>
      </c>
      <c r="I13" s="37">
        <f t="shared" ca="1" si="5"/>
        <v>42154</v>
      </c>
      <c r="J13" s="41" t="str">
        <f t="shared" ca="1" si="6"/>
        <v>VV</v>
      </c>
      <c r="K13" s="41" t="str">
        <f t="shared" ca="1" si="7"/>
        <v>FAIL</v>
      </c>
      <c r="L13" s="41" t="str">
        <f t="shared" ca="1" si="8"/>
        <v>Test no longer valid after Olog integration</v>
      </c>
    </row>
    <row r="14" spans="1:12" ht="30" x14ac:dyDescent="0.25">
      <c r="C14" s="33">
        <v>11</v>
      </c>
      <c r="D14" s="41" t="str">
        <f t="shared" ca="1" si="0"/>
        <v>ACT-11</v>
      </c>
      <c r="E14" s="41" t="str">
        <f t="shared" ca="1" si="1"/>
        <v>ACT-11</v>
      </c>
      <c r="F14" s="41" t="str">
        <f t="shared" ca="1" si="2"/>
        <v>Filter Logs</v>
      </c>
      <c r="G14" s="41" t="str">
        <f t="shared" ca="1" si="3"/>
        <v>Users must be able to filter log entries based on start/end dates, and go forward/back by 9 or 24 hours.</v>
      </c>
      <c r="H14" s="41" t="str">
        <f t="shared" ca="1" si="4"/>
        <v>Op Log</v>
      </c>
      <c r="I14" s="37">
        <f t="shared" ca="1" si="5"/>
        <v>42153</v>
      </c>
      <c r="J14" s="41" t="str">
        <f t="shared" ca="1" si="6"/>
        <v>VV</v>
      </c>
      <c r="K14" s="41" t="str">
        <f t="shared" ca="1" si="7"/>
        <v>FAIL</v>
      </c>
      <c r="L14" s="41" t="str">
        <f t="shared" ca="1" si="8"/>
        <v>Test Not Completed</v>
      </c>
    </row>
    <row r="15" spans="1:12" ht="30" x14ac:dyDescent="0.25">
      <c r="C15" s="33">
        <v>12</v>
      </c>
      <c r="D15" s="41" t="str">
        <f t="shared" ca="1" si="0"/>
        <v>ACT-12</v>
      </c>
      <c r="E15" s="41" t="str">
        <f t="shared" ca="1" si="1"/>
        <v>ACT-12</v>
      </c>
      <c r="F15" s="41" t="str">
        <f t="shared" ca="1" si="2"/>
        <v>Status Sync</v>
      </c>
      <c r="G15" s="41" t="str">
        <f t="shared" ca="1" si="3"/>
        <v>Status entries must have the latest values when unlock button is clicked.</v>
      </c>
      <c r="H15" s="41" t="str">
        <f t="shared" ca="1" si="4"/>
        <v>Op Log</v>
      </c>
      <c r="I15" s="37">
        <f t="shared" ca="1" si="5"/>
        <v>42153</v>
      </c>
      <c r="J15" s="41" t="str">
        <f t="shared" ca="1" si="6"/>
        <v>VV</v>
      </c>
      <c r="K15" s="41" t="str">
        <f t="shared" ca="1" si="7"/>
        <v>FAIL</v>
      </c>
      <c r="L15" s="41" t="str">
        <f t="shared" ca="1" si="8"/>
        <v>Test Not Completed</v>
      </c>
    </row>
    <row r="16" spans="1:12" x14ac:dyDescent="0.25">
      <c r="C16" s="33">
        <v>13</v>
      </c>
      <c r="D16" s="41" t="str">
        <f t="shared" ca="1" si="0"/>
        <v>NTS-01</v>
      </c>
      <c r="E16" s="41" t="str">
        <f t="shared" ca="1" si="1"/>
        <v>NTS-01</v>
      </c>
      <c r="F16" s="41" t="str">
        <f t="shared" ca="1" si="2"/>
        <v>Browse Notes</v>
      </c>
      <c r="G16" s="41" t="str">
        <f t="shared" ca="1" si="3"/>
        <v>A user must be able to browse text part of  Log Entries (Notes)</v>
      </c>
      <c r="H16" s="41" t="str">
        <f t="shared" ca="1" si="4"/>
        <v>Notes</v>
      </c>
      <c r="I16" s="37">
        <f t="shared" ca="1" si="5"/>
        <v>42153</v>
      </c>
      <c r="J16" s="41" t="str">
        <f t="shared" ca="1" si="6"/>
        <v>VV</v>
      </c>
      <c r="K16" s="41" t="str">
        <f t="shared" ca="1" si="7"/>
        <v>FAIL</v>
      </c>
      <c r="L16" s="41" t="str">
        <f t="shared" ca="1" si="8"/>
        <v>Test Not Completed</v>
      </c>
    </row>
    <row r="17" spans="3:12" x14ac:dyDescent="0.25">
      <c r="C17" s="33">
        <v>14</v>
      </c>
      <c r="D17" s="41" t="str">
        <f t="shared" ca="1" si="0"/>
        <v>NTS-02</v>
      </c>
      <c r="E17" s="41" t="str">
        <f t="shared" ca="1" si="1"/>
        <v>NTS-02</v>
      </c>
      <c r="F17" s="41" t="str">
        <f t="shared" ca="1" si="2"/>
        <v>Search Notes</v>
      </c>
      <c r="G17" s="41" t="str">
        <f t="shared" ca="1" si="3"/>
        <v>A user must be able to search text part of  Log Entries (Notes)</v>
      </c>
      <c r="H17" s="41" t="str">
        <f t="shared" ca="1" si="4"/>
        <v>Notes</v>
      </c>
      <c r="I17" s="37">
        <f t="shared" ca="1" si="5"/>
        <v>42153</v>
      </c>
      <c r="J17" s="41" t="str">
        <f t="shared" ca="1" si="6"/>
        <v>VV</v>
      </c>
      <c r="K17" s="41" t="str">
        <f t="shared" ca="1" si="7"/>
        <v>FAIL</v>
      </c>
      <c r="L17" s="41" t="str">
        <f t="shared" ca="1" si="8"/>
        <v>Test Not Completed</v>
      </c>
    </row>
    <row r="18" spans="3:12" x14ac:dyDescent="0.25">
      <c r="C18" s="33">
        <v>15</v>
      </c>
      <c r="D18" s="41" t="str">
        <f t="shared" ca="1" si="0"/>
        <v>SFT-01</v>
      </c>
      <c r="E18" s="41" t="str">
        <f t="shared" ca="1" si="1"/>
        <v>SFT-01</v>
      </c>
      <c r="F18" s="41" t="str">
        <f t="shared" ca="1" si="2"/>
        <v>Update Shift</v>
      </c>
      <c r="G18" s="41" t="str">
        <f t="shared" ca="1" si="3"/>
        <v>Authorized users must be able to update shift information</v>
      </c>
      <c r="H18" s="41" t="str">
        <f t="shared" ca="1" si="4"/>
        <v>Shift</v>
      </c>
      <c r="I18" s="37">
        <f t="shared" ca="1" si="5"/>
        <v>42154</v>
      </c>
      <c r="J18" s="41" t="str">
        <f t="shared" ca="1" si="6"/>
        <v>VV</v>
      </c>
      <c r="K18" s="41" t="str">
        <f t="shared" ca="1" si="7"/>
        <v>FAIL</v>
      </c>
      <c r="L18" s="41" t="str">
        <f t="shared" ca="1" si="8"/>
        <v>Test Not Completed</v>
      </c>
    </row>
    <row r="19" spans="3:12" ht="30" x14ac:dyDescent="0.25">
      <c r="C19" s="33">
        <v>16</v>
      </c>
      <c r="D19" s="41" t="str">
        <f t="shared" ca="1" si="0"/>
        <v>LNK-01</v>
      </c>
      <c r="E19" s="41" t="str">
        <f t="shared" ca="1" si="1"/>
        <v>LNK-01</v>
      </c>
      <c r="F19" s="41" t="str">
        <f t="shared" ca="1" si="2"/>
        <v>External Links</v>
      </c>
      <c r="G19" s="41" t="str">
        <f t="shared" ca="1" si="3"/>
        <v>Hour Log must link to external systems such as DataU, 911 Screen, Plasma Screen, Short Term Schedule</v>
      </c>
      <c r="H19" s="41" t="str">
        <f t="shared" ca="1" si="4"/>
        <v>Links</v>
      </c>
      <c r="I19" s="37">
        <f t="shared" ca="1" si="5"/>
        <v>42154</v>
      </c>
      <c r="J19" s="41" t="str">
        <f t="shared" ca="1" si="6"/>
        <v>VV</v>
      </c>
      <c r="K19" s="41" t="str">
        <f t="shared" ca="1" si="7"/>
        <v>FAIL</v>
      </c>
      <c r="L19" s="41" t="str">
        <f t="shared" ca="1" si="8"/>
        <v>Test Not Completed</v>
      </c>
    </row>
    <row r="20" spans="3:12" x14ac:dyDescent="0.25">
      <c r="C20" s="33">
        <v>17</v>
      </c>
      <c r="D20" s="41" t="str">
        <f t="shared" ca="1" si="0"/>
        <v>CAC-01</v>
      </c>
      <c r="E20" s="41" t="str">
        <f t="shared" ca="1" si="1"/>
        <v>CAC-01</v>
      </c>
      <c r="F20" s="41" t="str">
        <f t="shared" ca="1" si="2"/>
        <v>Trouble Reports</v>
      </c>
      <c r="G20" s="41" t="str">
        <f t="shared" ca="1" si="3"/>
        <v>Users must be able to browse Trouble Reports cache</v>
      </c>
      <c r="H20" s="41" t="str">
        <f t="shared" ca="1" si="4"/>
        <v>Cache</v>
      </c>
      <c r="I20" s="37">
        <f t="shared" ca="1" si="5"/>
        <v>42154</v>
      </c>
      <c r="J20" s="41" t="str">
        <f t="shared" ca="1" si="6"/>
        <v>VV</v>
      </c>
      <c r="K20" s="41" t="str">
        <f t="shared" ca="1" si="7"/>
        <v>FAIL</v>
      </c>
      <c r="L20" s="41" t="str">
        <f t="shared" ca="1" si="8"/>
        <v>Test Not Completed</v>
      </c>
    </row>
    <row r="21" spans="3:12" x14ac:dyDescent="0.25">
      <c r="C21" s="33">
        <v>18</v>
      </c>
      <c r="D21" s="41" t="str">
        <f t="shared" ca="1" si="0"/>
        <v>CAC-02</v>
      </c>
      <c r="E21" s="41" t="str">
        <f t="shared" ca="1" si="1"/>
        <v>CAC-02</v>
      </c>
      <c r="F21" s="41" t="str">
        <f t="shared" ca="1" si="2"/>
        <v>Approved Experiments</v>
      </c>
      <c r="G21" s="41" t="str">
        <f t="shared" ca="1" si="3"/>
        <v>Users must be able to browse  Approved Experiments in cache</v>
      </c>
      <c r="H21" s="41" t="str">
        <f t="shared" ca="1" si="4"/>
        <v>Cache</v>
      </c>
      <c r="I21" s="37">
        <f t="shared" ca="1" si="5"/>
        <v>42154</v>
      </c>
      <c r="J21" s="41" t="str">
        <f t="shared" ca="1" si="6"/>
        <v>VV</v>
      </c>
      <c r="K21" s="41" t="str">
        <f t="shared" ca="1" si="7"/>
        <v>FAIL</v>
      </c>
      <c r="L21" s="41" t="str">
        <f t="shared" ca="1" si="8"/>
        <v>Test Not Completed</v>
      </c>
    </row>
    <row r="22" spans="3:12" x14ac:dyDescent="0.25">
      <c r="C22" s="33">
        <v>19</v>
      </c>
      <c r="D22" s="41" t="str">
        <f t="shared" ca="1" si="0"/>
        <v>CAC-03</v>
      </c>
      <c r="E22" s="41" t="str">
        <f t="shared" ca="1" si="1"/>
        <v>CAC-03</v>
      </c>
      <c r="F22" s="41" t="str">
        <f t="shared" ca="1" si="2"/>
        <v>Training Records</v>
      </c>
      <c r="G22" s="41" t="str">
        <f t="shared" ca="1" si="3"/>
        <v>Users must be able to browse Training Records in cache</v>
      </c>
      <c r="H22" s="41" t="str">
        <f t="shared" ca="1" si="4"/>
        <v>Cache</v>
      </c>
      <c r="I22" s="37">
        <f t="shared" ca="1" si="5"/>
        <v>42154</v>
      </c>
      <c r="J22" s="41" t="str">
        <f t="shared" ca="1" si="6"/>
        <v>VV</v>
      </c>
      <c r="K22" s="41" t="str">
        <f t="shared" ca="1" si="7"/>
        <v>FAIL</v>
      </c>
      <c r="L22" s="41" t="str">
        <f t="shared" ca="1" si="8"/>
        <v>Test Not Completed</v>
      </c>
    </row>
    <row r="23" spans="3:12" x14ac:dyDescent="0.25">
      <c r="C23" s="33">
        <v>20</v>
      </c>
      <c r="D23" s="41" t="str">
        <f t="shared" ca="1" si="0"/>
        <v>REP-01</v>
      </c>
      <c r="E23" s="41" t="str">
        <f t="shared" ca="1" si="1"/>
        <v>REP-01</v>
      </c>
      <c r="F23" s="41" t="str">
        <f t="shared" ca="1" si="2"/>
        <v>Status Report</v>
      </c>
      <c r="G23" s="41" t="str">
        <f t="shared" ca="1" si="3"/>
        <v>Authorized users must be able to generate Operations reports</v>
      </c>
      <c r="H23" s="41" t="str">
        <f t="shared" ca="1" si="4"/>
        <v>Reports</v>
      </c>
      <c r="I23" s="37">
        <f t="shared" ca="1" si="5"/>
        <v>42154</v>
      </c>
      <c r="J23" s="41" t="str">
        <f t="shared" ca="1" si="6"/>
        <v>VV</v>
      </c>
      <c r="K23" s="41" t="str">
        <f t="shared" ca="1" si="7"/>
        <v>FAIL</v>
      </c>
      <c r="L23" s="41" t="str">
        <f t="shared" ca="1" si="8"/>
        <v>Test Not Completed</v>
      </c>
    </row>
    <row r="24" spans="3:12" ht="45" x14ac:dyDescent="0.25">
      <c r="C24" s="33">
        <v>21</v>
      </c>
      <c r="D24" s="41" t="str">
        <f t="shared" ca="1" si="0"/>
        <v>REP-02</v>
      </c>
      <c r="E24" s="41" t="str">
        <f t="shared" ca="1" si="1"/>
        <v>REP-02</v>
      </c>
      <c r="F24" s="41" t="str">
        <f t="shared" ca="1" si="2"/>
        <v>Breakdown Report</v>
      </c>
      <c r="G24" s="41" t="str">
        <f t="shared" ca="1" si="3"/>
        <v>Authorized users must be able to generate Breakdown reports</v>
      </c>
      <c r="H24" s="41" t="str">
        <f t="shared" ca="1" si="4"/>
        <v>Reports</v>
      </c>
      <c r="I24" s="37">
        <f t="shared" ca="1" si="5"/>
        <v>42155</v>
      </c>
      <c r="J24" s="41" t="str">
        <f t="shared" ca="1" si="6"/>
        <v>VV</v>
      </c>
      <c r="K24" s="41" t="str">
        <f t="shared" ca="1" si="7"/>
        <v>FAIL</v>
      </c>
      <c r="L24" s="41" t="str">
        <f t="shared" ca="1" si="8"/>
        <v>Test Not Completed</v>
      </c>
    </row>
    <row r="25" spans="3:12" x14ac:dyDescent="0.25">
      <c r="C25" s="33">
        <v>22</v>
      </c>
      <c r="D25" s="41" t="str">
        <f t="shared" ca="1" si="0"/>
        <v>REP-03</v>
      </c>
      <c r="E25" s="41" t="str">
        <f t="shared" ca="1" si="1"/>
        <v>REP-03</v>
      </c>
      <c r="F25" s="41" t="str">
        <f t="shared" ca="1" si="2"/>
        <v>Experiment Report</v>
      </c>
      <c r="G25" s="41" t="str">
        <f t="shared" ca="1" si="3"/>
        <v>Authorized users must be able to generate Experiment reports</v>
      </c>
      <c r="H25" s="41" t="str">
        <f t="shared" ca="1" si="4"/>
        <v>Reports</v>
      </c>
      <c r="I25" s="37">
        <f t="shared" ca="1" si="5"/>
        <v>42155</v>
      </c>
      <c r="J25" s="41" t="str">
        <f t="shared" ca="1" si="6"/>
        <v>VV</v>
      </c>
      <c r="K25" s="41" t="str">
        <f t="shared" ca="1" si="7"/>
        <v>FAIL</v>
      </c>
      <c r="L25" s="41" t="str">
        <f t="shared" ca="1" si="8"/>
        <v>Test Not Completed</v>
      </c>
    </row>
    <row r="26" spans="3:12" ht="30" x14ac:dyDescent="0.25">
      <c r="C26" s="33">
        <v>23</v>
      </c>
      <c r="D26" s="41" t="str">
        <f t="shared" ca="1" si="0"/>
        <v>REP-04</v>
      </c>
      <c r="E26" s="41" t="str">
        <f t="shared" ca="1" si="1"/>
        <v>REP-04</v>
      </c>
      <c r="F26" s="41" t="str">
        <f t="shared" ca="1" si="2"/>
        <v>Experiment Report URL</v>
      </c>
      <c r="G26" s="41" t="str">
        <f t="shared" ca="1" si="3"/>
        <v>Hour Log must provide  a  URL to get Experiment report for a given experiment</v>
      </c>
      <c r="H26" s="41" t="str">
        <f t="shared" ca="1" si="4"/>
        <v>Reports</v>
      </c>
      <c r="I26" s="37">
        <f t="shared" ca="1" si="5"/>
        <v>42155</v>
      </c>
      <c r="J26" s="41" t="str">
        <f t="shared" ca="1" si="6"/>
        <v>VV</v>
      </c>
      <c r="K26" s="41" t="str">
        <f t="shared" ca="1" si="7"/>
        <v>FAIL</v>
      </c>
      <c r="L26" s="41" t="str">
        <f t="shared" ca="1" si="8"/>
        <v>Test Not Completed</v>
      </c>
    </row>
    <row r="27" spans="3:12" ht="30" x14ac:dyDescent="0.25">
      <c r="C27" s="33">
        <v>24</v>
      </c>
      <c r="D27" s="41" t="str">
        <f t="shared" ca="1" si="0"/>
        <v>ADM-01</v>
      </c>
      <c r="E27" s="41" t="str">
        <f t="shared" ca="1" si="1"/>
        <v>ADM-01</v>
      </c>
      <c r="F27" s="41" t="str">
        <f t="shared" ca="1" si="2"/>
        <v>Admin Information</v>
      </c>
      <c r="G27" s="41" t="str">
        <f t="shared" ca="1" si="3"/>
        <v xml:space="preserve">Authorized users must be able to view authorizations, facilitiy base data, and operation staff information </v>
      </c>
      <c r="H27" s="41" t="str">
        <f t="shared" ca="1" si="4"/>
        <v>Admin</v>
      </c>
      <c r="I27" s="37">
        <f t="shared" ca="1" si="5"/>
        <v>42155</v>
      </c>
      <c r="J27" s="41" t="str">
        <f t="shared" ca="1" si="6"/>
        <v>VV</v>
      </c>
      <c r="K27" s="41" t="str">
        <f t="shared" ca="1" si="7"/>
        <v>FAIL</v>
      </c>
      <c r="L27" s="41" t="str">
        <f t="shared" ca="1" si="8"/>
        <v>Test Not Completed</v>
      </c>
    </row>
    <row r="28" spans="3:12" x14ac:dyDescent="0.25">
      <c r="C28" s="33">
        <v>25</v>
      </c>
      <c r="D28" s="41" t="str">
        <f t="shared" ca="1" si="0"/>
        <v>ADM-02</v>
      </c>
      <c r="E28" s="41" t="str">
        <f t="shared" ca="1" si="1"/>
        <v>ADM-02</v>
      </c>
      <c r="F28" s="41" t="str">
        <f t="shared" ca="1" si="2"/>
        <v>Admin Auth</v>
      </c>
      <c r="G28" s="41" t="str">
        <f t="shared" ca="1" si="3"/>
        <v>Authorized users must be able to manage authotrization data</v>
      </c>
      <c r="H28" s="41" t="str">
        <f t="shared" ca="1" si="4"/>
        <v>Admin</v>
      </c>
      <c r="I28" s="37">
        <f t="shared" ca="1" si="5"/>
        <v>42155</v>
      </c>
      <c r="J28" s="41" t="str">
        <f t="shared" ca="1" si="6"/>
        <v>VV</v>
      </c>
      <c r="K28" s="41" t="str">
        <f t="shared" ca="1" si="7"/>
        <v>FAIL</v>
      </c>
      <c r="L28" s="41" t="str">
        <f t="shared" ca="1" si="8"/>
        <v>Test not completed</v>
      </c>
    </row>
    <row r="29" spans="3:12" x14ac:dyDescent="0.25">
      <c r="C29" s="33">
        <v>26</v>
      </c>
      <c r="D29" s="41" t="str">
        <f t="shared" ca="1" si="0"/>
        <v>ADM-03</v>
      </c>
      <c r="E29" s="41" t="str">
        <f t="shared" ca="1" si="1"/>
        <v>ADM-03</v>
      </c>
      <c r="F29" s="41" t="str">
        <f t="shared" ca="1" si="2"/>
        <v>Admin Facility</v>
      </c>
      <c r="G29" s="41" t="str">
        <f t="shared" ca="1" si="3"/>
        <v>Authorized users must be able to manage facility data</v>
      </c>
      <c r="H29" s="41" t="str">
        <f t="shared" ca="1" si="4"/>
        <v>Admin</v>
      </c>
      <c r="I29" s="37">
        <f t="shared" ca="1" si="5"/>
        <v>42155</v>
      </c>
      <c r="J29" s="41" t="str">
        <f t="shared" ca="1" si="6"/>
        <v>VV</v>
      </c>
      <c r="K29" s="41" t="str">
        <f t="shared" ca="1" si="7"/>
        <v>FAIL</v>
      </c>
      <c r="L29" s="41" t="str">
        <f t="shared" ca="1" si="8"/>
        <v>Test not completed</v>
      </c>
    </row>
    <row r="30" spans="3:12" x14ac:dyDescent="0.25">
      <c r="C30" s="33">
        <v>27</v>
      </c>
      <c r="D30" s="41" t="str">
        <f t="shared" ca="1" si="0"/>
        <v>ADM-04</v>
      </c>
      <c r="E30" s="41" t="str">
        <f t="shared" ca="1" si="1"/>
        <v>ADM-04</v>
      </c>
      <c r="F30" s="41" t="str">
        <f t="shared" ca="1" si="2"/>
        <v>Admin Staff</v>
      </c>
      <c r="G30" s="41" t="str">
        <f t="shared" ca="1" si="3"/>
        <v>Authorized users must be able to manage staff data</v>
      </c>
      <c r="H30" s="41" t="str">
        <f t="shared" ca="1" si="4"/>
        <v>Admin</v>
      </c>
      <c r="I30" s="37">
        <f t="shared" ca="1" si="5"/>
        <v>42094</v>
      </c>
      <c r="J30" s="41" t="str">
        <f t="shared" ca="1" si="6"/>
        <v>VV</v>
      </c>
      <c r="K30" s="41" t="str">
        <f t="shared" ca="1" si="7"/>
        <v>FAIL</v>
      </c>
      <c r="L30" s="41" t="str">
        <f t="shared" ca="1" si="8"/>
        <v>Test not completed</v>
      </c>
    </row>
    <row r="31" spans="3:12" x14ac:dyDescent="0.25">
      <c r="C31" s="33">
        <v>28</v>
      </c>
      <c r="D31" s="41" t="str">
        <f t="shared" ca="1" si="0"/>
        <v>PRF-01</v>
      </c>
      <c r="E31" s="41" t="str">
        <f t="shared" ca="1" si="1"/>
        <v>PRF-01</v>
      </c>
      <c r="F31" s="41" t="str">
        <f t="shared" ca="1" si="2"/>
        <v>Preferences Update</v>
      </c>
      <c r="G31" s="41" t="str">
        <f t="shared" ca="1" si="3"/>
        <v>Users must be able to choose default facility, theme etc</v>
      </c>
      <c r="H31" s="41" t="str">
        <f t="shared" ca="1" si="4"/>
        <v>Preferences</v>
      </c>
      <c r="I31" s="37">
        <f t="shared" ca="1" si="5"/>
        <v>42155</v>
      </c>
      <c r="J31" s="41" t="str">
        <f t="shared" ca="1" si="6"/>
        <v>VV</v>
      </c>
      <c r="K31" s="41" t="str">
        <f t="shared" ca="1" si="7"/>
        <v>FAIL</v>
      </c>
      <c r="L31" s="41" t="str">
        <f t="shared" ca="1" si="8"/>
        <v>Test Not Completed</v>
      </c>
    </row>
    <row r="32" spans="3:12" x14ac:dyDescent="0.25">
      <c r="C32" s="33">
        <v>29</v>
      </c>
      <c r="D32" s="41" t="str">
        <f t="shared" ca="1" si="0"/>
        <v>PRF-02</v>
      </c>
      <c r="E32" s="41" t="str">
        <f t="shared" ca="1" si="1"/>
        <v>PRF-02</v>
      </c>
      <c r="F32" s="41" t="str">
        <f t="shared" ca="1" si="2"/>
        <v>Notifications</v>
      </c>
      <c r="G32" s="41" t="str">
        <f t="shared" ca="1" si="3"/>
        <v>A user must be able to subscribe to facility notifications</v>
      </c>
      <c r="H32" s="41" t="str">
        <f t="shared" ca="1" si="4"/>
        <v>Preferences</v>
      </c>
      <c r="I32" s="37">
        <f t="shared" ca="1" si="5"/>
        <v>42155</v>
      </c>
      <c r="J32" s="41" t="str">
        <f t="shared" ca="1" si="6"/>
        <v>VV</v>
      </c>
      <c r="K32" s="41" t="str">
        <f t="shared" ca="1" si="7"/>
        <v>FAIL</v>
      </c>
      <c r="L32" s="41" t="str">
        <f t="shared" ca="1" si="8"/>
        <v>Test Not Completed</v>
      </c>
    </row>
    <row r="33" spans="3:12" ht="30" x14ac:dyDescent="0.25">
      <c r="C33" s="33">
        <v>30</v>
      </c>
      <c r="D33" s="41" t="str">
        <f t="shared" ca="1" si="0"/>
        <v>HLP-01</v>
      </c>
      <c r="E33" s="41" t="str">
        <f t="shared" ca="1" si="1"/>
        <v>HLP-01</v>
      </c>
      <c r="F33" s="41" t="str">
        <f t="shared" ca="1" si="2"/>
        <v>Help</v>
      </c>
      <c r="G33" s="41" t="str">
        <f t="shared" ca="1" si="3"/>
        <v>A user must be able to check Hour Log version, documentation, and be able to report problems.</v>
      </c>
      <c r="H33" s="41" t="str">
        <f t="shared" ca="1" si="4"/>
        <v>Help</v>
      </c>
      <c r="I33" s="37">
        <f t="shared" ca="1" si="5"/>
        <v>42153</v>
      </c>
      <c r="J33" s="41" t="str">
        <f t="shared" ca="1" si="6"/>
        <v>VV</v>
      </c>
      <c r="K33" s="41" t="str">
        <f t="shared" ca="1" si="7"/>
        <v>FAIL</v>
      </c>
      <c r="L33" s="41" t="str">
        <f t="shared" ca="1" si="8"/>
        <v>Test Not Completed</v>
      </c>
    </row>
    <row r="34" spans="3:12" ht="30" x14ac:dyDescent="0.25">
      <c r="C34" s="33">
        <v>31</v>
      </c>
      <c r="D34" s="41" t="str">
        <f t="shared" ca="1" si="0"/>
        <v>API-01</v>
      </c>
      <c r="E34" s="41" t="str">
        <f t="shared" ca="1" si="1"/>
        <v>API-01</v>
      </c>
      <c r="F34" s="41" t="str">
        <f t="shared" ca="1" si="2"/>
        <v>Summary API</v>
      </c>
      <c r="G34" s="41" t="str">
        <f t="shared" ca="1" si="3"/>
        <v>Hour Log must provide an API to generate  summary (current status, shift staff, experiment etc) information about a facility</v>
      </c>
      <c r="H34" s="41" t="str">
        <f t="shared" ca="1" si="4"/>
        <v>API</v>
      </c>
      <c r="I34" s="37">
        <f t="shared" ca="1" si="5"/>
        <v>42155</v>
      </c>
      <c r="J34" s="41" t="str">
        <f t="shared" ca="1" si="6"/>
        <v>VV</v>
      </c>
      <c r="K34" s="41" t="str">
        <f t="shared" ca="1" si="7"/>
        <v>FAIL</v>
      </c>
      <c r="L34" s="41" t="str">
        <f t="shared" ca="1" si="8"/>
        <v>Test Not Completed</v>
      </c>
    </row>
    <row r="35" spans="3:12" x14ac:dyDescent="0.25">
      <c r="C35" s="33">
        <v>32</v>
      </c>
      <c r="D35" s="41" t="str">
        <f t="shared" ca="1" si="0"/>
        <v>API-02</v>
      </c>
      <c r="E35" s="41" t="str">
        <f t="shared" ca="1" si="1"/>
        <v>API-02</v>
      </c>
      <c r="F35" s="41" t="str">
        <f t="shared" ca="1" si="2"/>
        <v>Notes API</v>
      </c>
      <c r="G35" s="41" t="str">
        <f t="shared" ca="1" si="3"/>
        <v>Hour Log must provide an API to extract log entries</v>
      </c>
      <c r="H35" s="41" t="str">
        <f t="shared" ca="1" si="4"/>
        <v>API</v>
      </c>
      <c r="I35" s="37">
        <f t="shared" ca="1" si="5"/>
        <v>42155</v>
      </c>
      <c r="J35" s="41" t="str">
        <f t="shared" ca="1" si="6"/>
        <v>VV</v>
      </c>
      <c r="K35" s="41" t="str">
        <f t="shared" ca="1" si="7"/>
        <v>FAIL</v>
      </c>
      <c r="L35" s="41" t="str">
        <f t="shared" ca="1" si="8"/>
        <v>Test Not Completed</v>
      </c>
    </row>
    <row r="36" spans="3:12" x14ac:dyDescent="0.25">
      <c r="C36" s="33">
        <v>33</v>
      </c>
      <c r="D36" s="41" t="str">
        <f t="shared" ca="1" si="0"/>
        <v>API-03</v>
      </c>
      <c r="E36" s="41" t="str">
        <f t="shared" ca="1" si="1"/>
        <v>API-03</v>
      </c>
      <c r="F36" s="41" t="str">
        <f t="shared" ca="1" si="2"/>
        <v>Events API</v>
      </c>
      <c r="G36" s="41" t="str">
        <f t="shared" ca="1" si="3"/>
        <v>Hour Log must provide an API to extract status events</v>
      </c>
      <c r="H36" s="41" t="str">
        <f t="shared" ca="1" si="4"/>
        <v>API</v>
      </c>
      <c r="I36" s="37">
        <f t="shared" ca="1" si="5"/>
        <v>42154</v>
      </c>
      <c r="J36" s="41" t="str">
        <f t="shared" ca="1" si="6"/>
        <v>VV</v>
      </c>
      <c r="K36" s="41" t="str">
        <f t="shared" ca="1" si="7"/>
        <v>FAIL</v>
      </c>
      <c r="L36" s="41" t="str">
        <f t="shared" ca="1" si="8"/>
        <v>Test Not Completed</v>
      </c>
    </row>
    <row r="37" spans="3:12" x14ac:dyDescent="0.25">
      <c r="C37" s="33">
        <v>34</v>
      </c>
      <c r="D37" s="41" t="str">
        <f t="shared" ca="1" si="0"/>
        <v>API-04</v>
      </c>
      <c r="E37" s="41" t="str">
        <f t="shared" ca="1" si="1"/>
        <v>API-04</v>
      </c>
      <c r="F37" s="41" t="str">
        <f t="shared" ca="1" si="2"/>
        <v>Facility API</v>
      </c>
      <c r="G37" s="41" t="str">
        <f t="shared" ca="1" si="3"/>
        <v>Hour Log must provide an API to extract list of facilities</v>
      </c>
      <c r="H37" s="41" t="str">
        <f t="shared" ca="1" si="4"/>
        <v>API</v>
      </c>
      <c r="I37" s="37">
        <f t="shared" ca="1" si="5"/>
        <v>42154</v>
      </c>
      <c r="J37" s="41" t="str">
        <f t="shared" ca="1" si="6"/>
        <v>VV</v>
      </c>
      <c r="K37" s="41" t="str">
        <f t="shared" ca="1" si="7"/>
        <v>FAIL</v>
      </c>
      <c r="L37" s="41" t="str">
        <f t="shared" ca="1" si="8"/>
        <v>Test Not Completed</v>
      </c>
    </row>
    <row r="38" spans="3:12" x14ac:dyDescent="0.25">
      <c r="C38" s="33">
        <v>35</v>
      </c>
      <c r="D38" s="41" t="str">
        <f t="shared" ca="1" si="0"/>
        <v>SEC-01</v>
      </c>
      <c r="E38" s="41" t="str">
        <f t="shared" ca="1" si="1"/>
        <v>AUT-01</v>
      </c>
      <c r="F38" s="41" t="str">
        <f t="shared" ca="1" si="2"/>
        <v>Authorizations</v>
      </c>
      <c r="G38" s="41" t="str">
        <f t="shared" ca="1" si="3"/>
        <v>Check if authotizations are working</v>
      </c>
      <c r="H38" s="41" t="str">
        <f t="shared" ca="1" si="4"/>
        <v>Security</v>
      </c>
      <c r="I38" s="37">
        <f t="shared" ca="1" si="5"/>
        <v>42094</v>
      </c>
      <c r="J38" s="41" t="str">
        <f t="shared" ca="1" si="6"/>
        <v>VV</v>
      </c>
      <c r="K38" s="41" t="str">
        <f t="shared" ca="1" si="7"/>
        <v>FAIL</v>
      </c>
      <c r="L38" s="41" t="str">
        <f t="shared" ca="1" si="8"/>
        <v>Test not completed</v>
      </c>
    </row>
    <row r="39" spans="3:12" x14ac:dyDescent="0.25">
      <c r="C39" s="33">
        <v>36</v>
      </c>
      <c r="D39" s="41" t="str">
        <f t="shared" ca="1" si="0"/>
        <v>SEC-02</v>
      </c>
      <c r="E39" s="41" t="str">
        <f t="shared" ca="1" si="1"/>
        <v>AUT-02</v>
      </c>
      <c r="F39" s="41" t="str">
        <f t="shared" ca="1" si="2"/>
        <v>URL Auth</v>
      </c>
      <c r="G39" s="41" t="str">
        <f t="shared" ca="1" si="3"/>
        <v>Check if authotizations can be circumvented by using URLs directly</v>
      </c>
      <c r="H39" s="41" t="str">
        <f t="shared" ca="1" si="4"/>
        <v>Security</v>
      </c>
      <c r="I39" s="37">
        <f t="shared" ca="1" si="5"/>
        <v>42094</v>
      </c>
      <c r="J39" s="41" t="str">
        <f t="shared" ca="1" si="6"/>
        <v>VV</v>
      </c>
      <c r="K39" s="41" t="str">
        <f t="shared" ca="1" si="7"/>
        <v>FAIL</v>
      </c>
      <c r="L39" s="41" t="str">
        <f t="shared" ca="1" si="8"/>
        <v>Test not completed</v>
      </c>
    </row>
    <row r="40" spans="3:12" x14ac:dyDescent="0.25">
      <c r="C40" s="33">
        <v>37</v>
      </c>
      <c r="D40" s="41" t="str">
        <f t="shared" ca="1" si="0"/>
        <v>PER-01</v>
      </c>
      <c r="E40" s="41" t="str">
        <f t="shared" ca="1" si="1"/>
        <v>PER-01</v>
      </c>
      <c r="F40" s="41" t="str">
        <f t="shared" ca="1" si="2"/>
        <v>API Stress</v>
      </c>
      <c r="G40" s="41" t="str">
        <f t="shared" ca="1" si="3"/>
        <v>Hour Log mus tbe able handle at least 2 API calls per minute</v>
      </c>
      <c r="H40" s="41" t="str">
        <f t="shared" ca="1" si="4"/>
        <v>Performance</v>
      </c>
      <c r="I40" s="37">
        <f t="shared" ca="1" si="5"/>
        <v>42087</v>
      </c>
      <c r="J40" s="41" t="str">
        <f t="shared" ca="1" si="6"/>
        <v>VV</v>
      </c>
      <c r="K40" s="41" t="str">
        <f t="shared" ca="1" si="7"/>
        <v>FAIL</v>
      </c>
      <c r="L40" s="41" t="str">
        <f t="shared" ca="1" si="8"/>
        <v>Test not completed</v>
      </c>
    </row>
    <row r="41" spans="3:12" ht="30" x14ac:dyDescent="0.25">
      <c r="C41" s="33">
        <v>38</v>
      </c>
      <c r="D41" s="41" t="str">
        <f t="shared" ca="1" si="0"/>
        <v>PER-02</v>
      </c>
      <c r="E41" s="41" t="str">
        <f t="shared" ca="1" si="1"/>
        <v>PER-02</v>
      </c>
      <c r="F41" s="41" t="str">
        <f t="shared" ca="1" si="2"/>
        <v>Session Stress</v>
      </c>
      <c r="G41" s="41" t="str">
        <f t="shared" ca="1" si="3"/>
        <v>Hour Log must be able support at least 500 simultaneous  user sessions</v>
      </c>
      <c r="H41" s="41" t="str">
        <f t="shared" ca="1" si="4"/>
        <v>Performance</v>
      </c>
      <c r="I41" s="37">
        <f t="shared" ca="1" si="5"/>
        <v>42095</v>
      </c>
      <c r="J41" s="41" t="str">
        <f t="shared" ca="1" si="6"/>
        <v>VV</v>
      </c>
      <c r="K41" s="41" t="str">
        <f t="shared" ca="1" si="7"/>
        <v>FAIL</v>
      </c>
      <c r="L41" s="41" t="str">
        <f t="shared" ca="1" si="8"/>
        <v>Test not completed</v>
      </c>
    </row>
    <row r="42" spans="3:12" x14ac:dyDescent="0.25">
      <c r="C42" s="33">
        <v>39</v>
      </c>
      <c r="D42" s="41" t="str">
        <f t="shared" ca="1" si="0"/>
        <v>DEF-02</v>
      </c>
      <c r="E42" s="41" t="str">
        <f t="shared" ca="1" si="1"/>
        <v>DEF-02</v>
      </c>
      <c r="F42" s="41" t="str">
        <f t="shared" ca="1" si="2"/>
        <v>Inactive Summary</v>
      </c>
      <c r="G42" s="41" t="str">
        <f t="shared" ca="1" si="3"/>
        <v>Making a facilty summary inactive must not result in errors (in reports, API, etc)</v>
      </c>
      <c r="H42" s="41" t="str">
        <f t="shared" ca="1" si="4"/>
        <v>Defects</v>
      </c>
      <c r="I42" s="37">
        <f t="shared" ca="1" si="5"/>
        <v>42154</v>
      </c>
      <c r="J42" s="41" t="str">
        <f t="shared" ca="1" si="6"/>
        <v>VV</v>
      </c>
      <c r="K42" s="41" t="str">
        <f t="shared" ca="1" si="7"/>
        <v>FAIL</v>
      </c>
      <c r="L42" s="41" t="str">
        <f t="shared" ca="1" si="8"/>
        <v>Test Not Completed</v>
      </c>
    </row>
    <row r="43" spans="3:12" x14ac:dyDescent="0.25">
      <c r="C43" s="33">
        <v>40</v>
      </c>
      <c r="D43" s="41" t="str">
        <f t="shared" ca="1" si="0"/>
        <v>DEF-01</v>
      </c>
      <c r="E43" s="41" t="str">
        <f t="shared" ca="1" si="1"/>
        <v>DEF-01</v>
      </c>
      <c r="F43" s="41" t="str">
        <f t="shared" ca="1" si="2"/>
        <v>None Beam</v>
      </c>
      <c r="G43" s="41" t="str">
        <f t="shared" ca="1" si="3"/>
        <v>Changing beam from 'None' must not cause error.</v>
      </c>
      <c r="H43" s="41" t="str">
        <f t="shared" ca="1" si="4"/>
        <v>Defects</v>
      </c>
      <c r="I43" s="37">
        <f t="shared" ca="1" si="5"/>
        <v>42154</v>
      </c>
      <c r="J43" s="41" t="str">
        <f t="shared" ca="1" si="6"/>
        <v>VV</v>
      </c>
      <c r="K43" s="41" t="str">
        <f t="shared" ca="1" si="7"/>
        <v>FAIL</v>
      </c>
      <c r="L43" s="41" t="str">
        <f t="shared" ca="1" si="8"/>
        <v>Test Not Completed</v>
      </c>
    </row>
    <row r="44" spans="3:12" x14ac:dyDescent="0.25">
      <c r="C44" s="33"/>
      <c r="D44" s="41" t="str">
        <f t="shared" ca="1" si="0"/>
        <v>CNF-01</v>
      </c>
      <c r="E44" s="41" t="str">
        <f t="shared" ca="1" si="1"/>
        <v>CNF-01</v>
      </c>
      <c r="F44" s="41" t="str">
        <f t="shared" ca="1" si="2"/>
        <v>Test Config</v>
      </c>
      <c r="G44" s="41" t="str">
        <f t="shared" ca="1" si="3"/>
        <v>Artifacts of test deployment must not appear in production</v>
      </c>
      <c r="H44" s="41" t="str">
        <f t="shared" ca="1" si="4"/>
        <v>Configuration</v>
      </c>
      <c r="I44" s="37">
        <f t="shared" ca="1" si="5"/>
        <v>42089</v>
      </c>
      <c r="J44" s="41" t="str">
        <f t="shared" ca="1" si="6"/>
        <v>VV</v>
      </c>
      <c r="K44" s="41" t="str">
        <f t="shared" ca="1" si="7"/>
        <v>FAIL</v>
      </c>
      <c r="L44" s="41" t="str">
        <f t="shared" ca="1" si="8"/>
        <v>Test not completed</v>
      </c>
    </row>
    <row r="45" spans="3:12" x14ac:dyDescent="0.25">
      <c r="C45" s="33"/>
      <c r="D45" s="41" t="str">
        <f t="shared" ca="1" si="0"/>
        <v/>
      </c>
      <c r="E45" s="41" t="str">
        <f t="shared" ca="1" si="1"/>
        <v/>
      </c>
      <c r="F45" s="41" t="str">
        <f t="shared" ca="1" si="2"/>
        <v/>
      </c>
      <c r="G45" s="41" t="str">
        <f t="shared" ca="1" si="3"/>
        <v/>
      </c>
      <c r="H45" s="41" t="str">
        <f t="shared" ca="1" si="4"/>
        <v/>
      </c>
      <c r="I45" s="37" t="str">
        <f t="shared" ca="1" si="5"/>
        <v/>
      </c>
      <c r="J45" s="41" t="str">
        <f t="shared" ca="1" si="6"/>
        <v/>
      </c>
      <c r="K45" s="41" t="str">
        <f t="shared" ca="1" si="7"/>
        <v/>
      </c>
      <c r="L45" s="41" t="str">
        <f t="shared" ca="1" si="8"/>
        <v/>
      </c>
    </row>
    <row r="46" spans="3:12" x14ac:dyDescent="0.25">
      <c r="C46" s="33"/>
      <c r="D46" s="41" t="str">
        <f t="shared" ca="1" si="0"/>
        <v/>
      </c>
      <c r="E46" s="41" t="str">
        <f t="shared" ca="1" si="1"/>
        <v/>
      </c>
      <c r="F46" s="41" t="str">
        <f t="shared" ca="1" si="2"/>
        <v/>
      </c>
      <c r="G46" s="41" t="str">
        <f t="shared" ca="1" si="3"/>
        <v/>
      </c>
      <c r="H46" s="41" t="str">
        <f t="shared" ca="1" si="4"/>
        <v/>
      </c>
      <c r="I46" s="37" t="str">
        <f t="shared" ca="1" si="5"/>
        <v/>
      </c>
      <c r="J46" s="41" t="str">
        <f t="shared" ca="1" si="6"/>
        <v/>
      </c>
      <c r="K46" s="41" t="str">
        <f t="shared" ca="1" si="7"/>
        <v/>
      </c>
      <c r="L46" s="41" t="str">
        <f t="shared" ca="1" si="8"/>
        <v/>
      </c>
    </row>
    <row r="47" spans="3:12" x14ac:dyDescent="0.25">
      <c r="C47" s="33"/>
      <c r="D47" s="41" t="str">
        <f t="shared" ca="1" si="0"/>
        <v/>
      </c>
      <c r="E47" s="41" t="str">
        <f t="shared" ca="1" si="1"/>
        <v/>
      </c>
      <c r="F47" s="41" t="str">
        <f t="shared" ca="1" si="2"/>
        <v/>
      </c>
      <c r="G47" s="41" t="str">
        <f t="shared" ca="1" si="3"/>
        <v/>
      </c>
      <c r="H47" s="41" t="str">
        <f t="shared" ca="1" si="4"/>
        <v/>
      </c>
      <c r="I47" s="37" t="str">
        <f t="shared" ca="1" si="5"/>
        <v/>
      </c>
      <c r="J47" s="41" t="str">
        <f t="shared" ca="1" si="6"/>
        <v/>
      </c>
      <c r="K47" s="41" t="str">
        <f t="shared" ca="1" si="7"/>
        <v/>
      </c>
      <c r="L47" s="41" t="str">
        <f t="shared" ca="1" si="8"/>
        <v/>
      </c>
    </row>
    <row r="48" spans="3:12" x14ac:dyDescent="0.25">
      <c r="C48" s="33"/>
      <c r="D48" s="41" t="str">
        <f t="shared" ca="1" si="0"/>
        <v/>
      </c>
      <c r="E48" s="41" t="str">
        <f t="shared" ca="1" si="1"/>
        <v/>
      </c>
      <c r="F48" s="41" t="str">
        <f t="shared" ca="1" si="2"/>
        <v/>
      </c>
      <c r="G48" s="41" t="str">
        <f t="shared" ca="1" si="3"/>
        <v/>
      </c>
      <c r="H48" s="41" t="str">
        <f t="shared" ca="1" si="4"/>
        <v/>
      </c>
      <c r="I48" s="37" t="str">
        <f t="shared" ca="1" si="5"/>
        <v/>
      </c>
      <c r="J48" s="41" t="str">
        <f t="shared" ca="1" si="6"/>
        <v/>
      </c>
      <c r="K48" s="41" t="str">
        <f t="shared" ca="1" si="7"/>
        <v/>
      </c>
      <c r="L48" s="41" t="str">
        <f t="shared" ca="1" si="8"/>
        <v/>
      </c>
    </row>
    <row r="49" spans="3:12" x14ac:dyDescent="0.25">
      <c r="C49" s="33"/>
      <c r="D49" s="41" t="str">
        <f t="shared" ca="1" si="0"/>
        <v/>
      </c>
      <c r="E49" s="41" t="str">
        <f t="shared" ca="1" si="1"/>
        <v/>
      </c>
      <c r="F49" s="41" t="str">
        <f t="shared" ca="1" si="2"/>
        <v/>
      </c>
      <c r="G49" s="41" t="str">
        <f t="shared" ca="1" si="3"/>
        <v/>
      </c>
      <c r="H49" s="41" t="str">
        <f t="shared" ca="1" si="4"/>
        <v/>
      </c>
      <c r="I49" s="37" t="str">
        <f t="shared" ca="1" si="5"/>
        <v/>
      </c>
      <c r="J49" s="41" t="str">
        <f t="shared" ca="1" si="6"/>
        <v/>
      </c>
      <c r="K49" s="41" t="str">
        <f t="shared" ca="1" si="7"/>
        <v/>
      </c>
      <c r="L49" s="41" t="str">
        <f t="shared" ca="1" si="8"/>
        <v/>
      </c>
    </row>
  </sheetData>
  <conditionalFormatting sqref="K1:K1048576">
    <cfRule type="cellIs" dxfId="1" priority="1" operator="equal">
      <formula>"FAIL"</formula>
    </cfRule>
    <cfRule type="cellIs" dxfId="0" priority="4" operator="equal">
      <formula>"PASS"</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8" t="s">
        <v>16</v>
      </c>
      <c r="D4" s="8" t="s">
        <v>29</v>
      </c>
      <c r="E4" s="8" t="s">
        <v>19</v>
      </c>
      <c r="F4" s="8" t="s">
        <v>16</v>
      </c>
      <c r="G4" s="8" t="s">
        <v>61</v>
      </c>
      <c r="H4" s="8" t="s">
        <v>62</v>
      </c>
      <c r="I4" s="8"/>
      <c r="J4" s="37" t="s">
        <v>62</v>
      </c>
      <c r="K4" s="37">
        <v>42153</v>
      </c>
    </row>
    <row r="5" spans="2:12" x14ac:dyDescent="0.25">
      <c r="C5" s="7" t="s">
        <v>517</v>
      </c>
      <c r="D5" s="82" t="s">
        <v>520</v>
      </c>
      <c r="E5" s="82"/>
      <c r="F5" s="82"/>
      <c r="G5" s="82"/>
      <c r="H5" s="82"/>
      <c r="I5" s="82"/>
      <c r="J5" s="82"/>
      <c r="K5" s="82"/>
    </row>
    <row r="6" spans="2:12" ht="15" customHeight="1" x14ac:dyDescent="0.25">
      <c r="C6" s="7" t="s">
        <v>467</v>
      </c>
      <c r="D6" s="12" t="s">
        <v>519</v>
      </c>
      <c r="E6" s="76" t="s">
        <v>609</v>
      </c>
      <c r="F6" s="77"/>
      <c r="G6" s="77"/>
      <c r="H6" s="77"/>
      <c r="I6" s="77"/>
      <c r="J6" s="77"/>
      <c r="K6" s="78"/>
    </row>
    <row r="7" spans="2:12" x14ac:dyDescent="0.25">
      <c r="C7" s="7" t="s">
        <v>9</v>
      </c>
      <c r="D7" s="82" t="s">
        <v>63</v>
      </c>
      <c r="E7" s="82"/>
      <c r="F7" s="82"/>
      <c r="G7" s="82"/>
      <c r="H7" s="82"/>
      <c r="I7" s="82"/>
      <c r="J7" s="82"/>
      <c r="K7" s="82"/>
    </row>
    <row r="9" spans="2:12" x14ac:dyDescent="0.25">
      <c r="B9" s="10" t="s">
        <v>10</v>
      </c>
      <c r="C9" s="83" t="s">
        <v>11</v>
      </c>
      <c r="D9" s="83"/>
      <c r="E9" s="83"/>
      <c r="F9" s="83" t="s">
        <v>12</v>
      </c>
      <c r="G9" s="83"/>
      <c r="H9" s="83"/>
      <c r="I9" s="83"/>
      <c r="J9" s="83"/>
      <c r="K9" s="10" t="s">
        <v>13</v>
      </c>
      <c r="L9" s="10" t="s">
        <v>14</v>
      </c>
    </row>
    <row r="10" spans="2:12" ht="30" customHeight="1" x14ac:dyDescent="0.25">
      <c r="B10" s="21">
        <v>1</v>
      </c>
      <c r="C10" s="79" t="s">
        <v>64</v>
      </c>
      <c r="D10" s="80"/>
      <c r="E10" s="81"/>
      <c r="F10" s="79" t="s">
        <v>75</v>
      </c>
      <c r="G10" s="77"/>
      <c r="H10" s="77"/>
      <c r="I10" s="77"/>
      <c r="J10" s="78"/>
      <c r="K10" s="12" t="s">
        <v>519</v>
      </c>
      <c r="L10" s="12"/>
    </row>
    <row r="11" spans="2:12" ht="30.75" customHeight="1" x14ac:dyDescent="0.25">
      <c r="B11" s="21">
        <v>2</v>
      </c>
      <c r="C11" s="79" t="s">
        <v>76</v>
      </c>
      <c r="D11" s="80"/>
      <c r="E11" s="81"/>
      <c r="F11" s="79" t="s">
        <v>77</v>
      </c>
      <c r="G11" s="77"/>
      <c r="H11" s="77"/>
      <c r="I11" s="77"/>
      <c r="J11" s="78"/>
      <c r="K11" s="12" t="s">
        <v>519</v>
      </c>
      <c r="L11" s="61" t="s">
        <v>583</v>
      </c>
    </row>
    <row r="12" spans="2:12" ht="34.5" customHeight="1" x14ac:dyDescent="0.25">
      <c r="B12" s="21">
        <v>3</v>
      </c>
      <c r="C12" s="79" t="s">
        <v>65</v>
      </c>
      <c r="D12" s="80"/>
      <c r="E12" s="81"/>
      <c r="F12" s="79" t="s">
        <v>66</v>
      </c>
      <c r="G12" s="77"/>
      <c r="H12" s="77"/>
      <c r="I12" s="77"/>
      <c r="J12" s="78"/>
      <c r="K12" s="12" t="s">
        <v>519</v>
      </c>
      <c r="L12" s="12"/>
    </row>
    <row r="13" spans="2:12" x14ac:dyDescent="0.25">
      <c r="B13" s="21">
        <v>4</v>
      </c>
      <c r="C13" s="79" t="s">
        <v>67</v>
      </c>
      <c r="D13" s="80"/>
      <c r="E13" s="81"/>
      <c r="F13" s="79" t="s">
        <v>68</v>
      </c>
      <c r="G13" s="80"/>
      <c r="H13" s="80"/>
      <c r="I13" s="80"/>
      <c r="J13" s="81"/>
      <c r="K13" s="12" t="s">
        <v>519</v>
      </c>
      <c r="L13" s="61" t="s">
        <v>606</v>
      </c>
    </row>
    <row r="14" spans="2:12" x14ac:dyDescent="0.25">
      <c r="B14" s="21">
        <v>5</v>
      </c>
      <c r="C14" s="79" t="s">
        <v>69</v>
      </c>
      <c r="D14" s="80"/>
      <c r="E14" s="81"/>
      <c r="F14" s="79" t="s">
        <v>70</v>
      </c>
      <c r="G14" s="80"/>
      <c r="H14" s="80"/>
      <c r="I14" s="80"/>
      <c r="J14" s="81"/>
      <c r="K14" s="12" t="s">
        <v>519</v>
      </c>
      <c r="L14" s="12"/>
    </row>
    <row r="15" spans="2:12" ht="29.25" customHeight="1" x14ac:dyDescent="0.25">
      <c r="B15" s="21">
        <v>6</v>
      </c>
      <c r="C15" s="79" t="s">
        <v>73</v>
      </c>
      <c r="D15" s="80"/>
      <c r="E15" s="81"/>
      <c r="F15" s="79" t="s">
        <v>71</v>
      </c>
      <c r="G15" s="80"/>
      <c r="H15" s="80"/>
      <c r="I15" s="80"/>
      <c r="J15" s="81"/>
      <c r="K15" s="12" t="s">
        <v>519</v>
      </c>
      <c r="L15" s="12"/>
    </row>
    <row r="16" spans="2:12" ht="45.75" customHeight="1" x14ac:dyDescent="0.25">
      <c r="B16" s="21">
        <v>7</v>
      </c>
      <c r="C16" s="79" t="s">
        <v>72</v>
      </c>
      <c r="D16" s="80"/>
      <c r="E16" s="81"/>
      <c r="F16" s="79" t="s">
        <v>74</v>
      </c>
      <c r="G16" s="80"/>
      <c r="H16" s="80"/>
      <c r="I16" s="80"/>
      <c r="J16" s="81"/>
      <c r="K16" s="12" t="s">
        <v>519</v>
      </c>
      <c r="L16" s="61" t="s">
        <v>585</v>
      </c>
    </row>
    <row r="17" spans="2:15" ht="27" customHeight="1" x14ac:dyDescent="0.25">
      <c r="B17" s="21">
        <v>8</v>
      </c>
      <c r="C17" s="79" t="s">
        <v>79</v>
      </c>
      <c r="D17" s="80"/>
      <c r="E17" s="81"/>
      <c r="F17" s="79" t="s">
        <v>103</v>
      </c>
      <c r="G17" s="80"/>
      <c r="H17" s="80"/>
      <c r="I17" s="80"/>
      <c r="J17" s="81"/>
      <c r="K17" s="12" t="s">
        <v>519</v>
      </c>
      <c r="L17" s="12"/>
    </row>
    <row r="18" spans="2:15" ht="33.75" customHeight="1" x14ac:dyDescent="0.25">
      <c r="B18" s="22">
        <v>9</v>
      </c>
      <c r="C18" s="76" t="s">
        <v>522</v>
      </c>
      <c r="D18" s="77"/>
      <c r="E18" s="78"/>
      <c r="F18" s="79"/>
      <c r="G18" s="80"/>
      <c r="H18" s="80"/>
      <c r="I18" s="80"/>
      <c r="J18" s="81"/>
      <c r="K18" s="12" t="s">
        <v>519</v>
      </c>
      <c r="L18" s="61" t="s">
        <v>584</v>
      </c>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8"/>
      <c r="L21" s="8"/>
    </row>
    <row r="22" spans="2:15" x14ac:dyDescent="0.25">
      <c r="B22" s="22"/>
      <c r="C22" s="76"/>
      <c r="D22" s="77"/>
      <c r="E22" s="78"/>
      <c r="F22" s="84"/>
      <c r="G22" s="80"/>
      <c r="H22" s="80"/>
      <c r="I22" s="80"/>
      <c r="J22" s="81"/>
      <c r="K22" s="12"/>
      <c r="L22" s="8"/>
    </row>
    <row r="25" spans="2:15" x14ac:dyDescent="0.25">
      <c r="C25" s="7" t="s">
        <v>15</v>
      </c>
      <c r="D25" s="82" t="s">
        <v>104</v>
      </c>
      <c r="E25" s="82"/>
      <c r="F25" s="82"/>
      <c r="G25" s="82"/>
      <c r="H25" s="82"/>
      <c r="I25" s="82"/>
      <c r="J25" s="82"/>
      <c r="K25" s="82"/>
    </row>
    <row r="28" spans="2:15" x14ac:dyDescent="0.25">
      <c r="L28" s="13" t="s">
        <v>80</v>
      </c>
      <c r="M28" s="13" t="s">
        <v>81</v>
      </c>
      <c r="N28" s="13" t="s">
        <v>82</v>
      </c>
      <c r="O28" s="14"/>
    </row>
    <row r="29" spans="2:15" x14ac:dyDescent="0.2">
      <c r="L29" s="14" t="s">
        <v>83</v>
      </c>
      <c r="M29" s="14" t="s">
        <v>84</v>
      </c>
      <c r="N29" s="14" t="s">
        <v>85</v>
      </c>
      <c r="O29" s="15"/>
    </row>
    <row r="30" spans="2:15" x14ac:dyDescent="0.2">
      <c r="L30" s="14" t="s">
        <v>86</v>
      </c>
      <c r="M30" s="14" t="s">
        <v>87</v>
      </c>
      <c r="N30" s="14" t="s">
        <v>88</v>
      </c>
      <c r="O30" s="16"/>
    </row>
    <row r="31" spans="2:15" x14ac:dyDescent="0.2">
      <c r="L31" s="14" t="s">
        <v>89</v>
      </c>
      <c r="M31" s="14" t="s">
        <v>90</v>
      </c>
      <c r="N31" s="14" t="s">
        <v>91</v>
      </c>
      <c r="O31" s="17"/>
    </row>
    <row r="32" spans="2:15" x14ac:dyDescent="0.2">
      <c r="L32" s="14" t="s">
        <v>92</v>
      </c>
      <c r="M32" s="14" t="s">
        <v>93</v>
      </c>
      <c r="N32" s="14" t="s">
        <v>94</v>
      </c>
      <c r="O32" s="18"/>
    </row>
    <row r="33" spans="12:15" x14ac:dyDescent="0.2">
      <c r="L33" s="14" t="s">
        <v>95</v>
      </c>
      <c r="M33" s="14" t="s">
        <v>96</v>
      </c>
      <c r="N33" s="14" t="s">
        <v>91</v>
      </c>
      <c r="O33" s="17"/>
    </row>
    <row r="34" spans="12:15" x14ac:dyDescent="0.2">
      <c r="L34" s="14" t="s">
        <v>97</v>
      </c>
      <c r="M34" s="14" t="s">
        <v>98</v>
      </c>
      <c r="N34" s="14" t="s">
        <v>99</v>
      </c>
      <c r="O34" s="19"/>
    </row>
    <row r="35" spans="12:15" x14ac:dyDescent="0.2">
      <c r="L35" s="14" t="s">
        <v>100</v>
      </c>
      <c r="M35" s="14" t="s">
        <v>101</v>
      </c>
      <c r="N35" s="14" t="s">
        <v>102</v>
      </c>
      <c r="O35" s="20"/>
    </row>
  </sheetData>
  <mergeCells count="32">
    <mergeCell ref="D5:K5"/>
    <mergeCell ref="D7:K7"/>
    <mergeCell ref="C9:E9"/>
    <mergeCell ref="F9:J9"/>
    <mergeCell ref="D25:K25"/>
    <mergeCell ref="C21:E21"/>
    <mergeCell ref="F21:J21"/>
    <mergeCell ref="C22:E22"/>
    <mergeCell ref="F22:J22"/>
    <mergeCell ref="C10:E10"/>
    <mergeCell ref="C12:E12"/>
    <mergeCell ref="C13:E13"/>
    <mergeCell ref="C14:E14"/>
    <mergeCell ref="C15:E15"/>
    <mergeCell ref="C16:E16"/>
    <mergeCell ref="C17:E17"/>
    <mergeCell ref="E6:K6"/>
    <mergeCell ref="C18:E18"/>
    <mergeCell ref="C19:E19"/>
    <mergeCell ref="C20:E20"/>
    <mergeCell ref="F10:J10"/>
    <mergeCell ref="F12:J12"/>
    <mergeCell ref="F13:J13"/>
    <mergeCell ref="F14:J14"/>
    <mergeCell ref="F15:J15"/>
    <mergeCell ref="F16:J16"/>
    <mergeCell ref="F17:J17"/>
    <mergeCell ref="F18:J18"/>
    <mergeCell ref="F19:J19"/>
    <mergeCell ref="F20:J20"/>
    <mergeCell ref="C11:E11"/>
    <mergeCell ref="F11:J11"/>
  </mergeCells>
  <dataValidations count="2">
    <dataValidation type="list" allowBlank="1" showInputMessage="1" showErrorMessage="1" promptTitle="Choose Result" prompt="RESULT" sqref="K22">
      <formula1>"PASS; FAIL"</formula1>
    </dataValidation>
    <dataValidation type="list" allowBlank="1" showInputMessage="1" showErrorMessage="1" promptTitle="Choose Result" sqref="D6 K10:K18">
      <formula1>TestResult</formula1>
    </dataValidation>
  </dataValidations>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8" t="s">
        <v>16</v>
      </c>
      <c r="D4" s="8" t="s">
        <v>30</v>
      </c>
      <c r="E4" s="8" t="s">
        <v>105</v>
      </c>
      <c r="F4" s="8" t="s">
        <v>16</v>
      </c>
      <c r="G4" s="8" t="s">
        <v>61</v>
      </c>
      <c r="H4" s="8" t="s">
        <v>62</v>
      </c>
      <c r="I4" s="8"/>
      <c r="J4" s="8" t="s">
        <v>62</v>
      </c>
      <c r="K4" s="37">
        <v>42153</v>
      </c>
    </row>
    <row r="5" spans="2:12" x14ac:dyDescent="0.25">
      <c r="C5" s="7" t="s">
        <v>517</v>
      </c>
      <c r="D5" s="82" t="s">
        <v>521</v>
      </c>
      <c r="E5" s="82"/>
      <c r="F5" s="82"/>
      <c r="G5" s="82"/>
      <c r="H5" s="82"/>
      <c r="I5" s="82"/>
      <c r="J5" s="82"/>
      <c r="K5" s="82"/>
    </row>
    <row r="6" spans="2:12" x14ac:dyDescent="0.25">
      <c r="C6" s="7" t="s">
        <v>467</v>
      </c>
      <c r="D6" s="12" t="s">
        <v>519</v>
      </c>
      <c r="E6" s="76" t="s">
        <v>609</v>
      </c>
      <c r="F6" s="77"/>
      <c r="G6" s="77"/>
      <c r="H6" s="77"/>
      <c r="I6" s="77"/>
      <c r="J6" s="77"/>
      <c r="K6" s="78"/>
    </row>
    <row r="7" spans="2:12" x14ac:dyDescent="0.25">
      <c r="C7" s="7" t="s">
        <v>9</v>
      </c>
      <c r="D7" s="82" t="s">
        <v>63</v>
      </c>
      <c r="E7" s="82"/>
      <c r="F7" s="82"/>
      <c r="G7" s="82"/>
      <c r="H7" s="82"/>
      <c r="I7" s="82"/>
      <c r="J7" s="82"/>
      <c r="K7" s="82"/>
    </row>
    <row r="9" spans="2:12" x14ac:dyDescent="0.25">
      <c r="B9" s="10" t="s">
        <v>10</v>
      </c>
      <c r="C9" s="83" t="s">
        <v>11</v>
      </c>
      <c r="D9" s="83"/>
      <c r="E9" s="83"/>
      <c r="F9" s="83" t="s">
        <v>12</v>
      </c>
      <c r="G9" s="83"/>
      <c r="H9" s="83"/>
      <c r="I9" s="83"/>
      <c r="J9" s="83"/>
      <c r="K9" s="10" t="s">
        <v>13</v>
      </c>
      <c r="L9" s="10" t="s">
        <v>14</v>
      </c>
    </row>
    <row r="10" spans="2:12" ht="30" customHeight="1" x14ac:dyDescent="0.25">
      <c r="B10" s="21">
        <v>1</v>
      </c>
      <c r="C10" s="79" t="s">
        <v>106</v>
      </c>
      <c r="D10" s="80"/>
      <c r="E10" s="81"/>
      <c r="F10" s="79" t="s">
        <v>107</v>
      </c>
      <c r="G10" s="77"/>
      <c r="H10" s="77"/>
      <c r="I10" s="77"/>
      <c r="J10" s="78"/>
      <c r="K10" s="12" t="s">
        <v>519</v>
      </c>
      <c r="L10" s="12"/>
    </row>
    <row r="11" spans="2:12" ht="30.75" customHeight="1" x14ac:dyDescent="0.25">
      <c r="B11" s="21">
        <v>2</v>
      </c>
      <c r="C11" s="79" t="s">
        <v>110</v>
      </c>
      <c r="D11" s="80"/>
      <c r="E11" s="81"/>
      <c r="F11" s="79" t="s">
        <v>109</v>
      </c>
      <c r="G11" s="77"/>
      <c r="H11" s="77"/>
      <c r="I11" s="77"/>
      <c r="J11" s="78"/>
      <c r="K11" s="12" t="s">
        <v>519</v>
      </c>
      <c r="L11" s="12"/>
    </row>
    <row r="12" spans="2:12" ht="34.5" customHeight="1" x14ac:dyDescent="0.25">
      <c r="B12" s="21">
        <v>3</v>
      </c>
      <c r="C12" s="79" t="s">
        <v>108</v>
      </c>
      <c r="D12" s="80"/>
      <c r="E12" s="81"/>
      <c r="F12" s="79" t="s">
        <v>109</v>
      </c>
      <c r="G12" s="77"/>
      <c r="H12" s="77"/>
      <c r="I12" s="77"/>
      <c r="J12" s="78"/>
      <c r="K12" s="12" t="s">
        <v>519</v>
      </c>
      <c r="L12" s="12"/>
    </row>
    <row r="13" spans="2:12" x14ac:dyDescent="0.25">
      <c r="B13" s="21">
        <v>4</v>
      </c>
      <c r="C13" s="79" t="s">
        <v>111</v>
      </c>
      <c r="D13" s="80"/>
      <c r="E13" s="81"/>
      <c r="F13" s="79" t="s">
        <v>112</v>
      </c>
      <c r="G13" s="80"/>
      <c r="H13" s="80"/>
      <c r="I13" s="80"/>
      <c r="J13" s="81"/>
      <c r="K13" s="12" t="s">
        <v>519</v>
      </c>
      <c r="L13" s="12"/>
    </row>
    <row r="14" spans="2:12" ht="34.5" customHeight="1" x14ac:dyDescent="0.25">
      <c r="B14" s="22">
        <v>9</v>
      </c>
      <c r="C14" s="76" t="s">
        <v>522</v>
      </c>
      <c r="D14" s="77"/>
      <c r="E14" s="78"/>
      <c r="F14" s="79"/>
      <c r="G14" s="80"/>
      <c r="H14" s="80"/>
      <c r="I14" s="80"/>
      <c r="J14" s="81"/>
      <c r="K14" s="12" t="s">
        <v>519</v>
      </c>
      <c r="L14" s="12"/>
    </row>
    <row r="15" spans="2:12" ht="29.25" customHeight="1" x14ac:dyDescent="0.25">
      <c r="B15" s="21"/>
      <c r="C15" s="79"/>
      <c r="D15" s="80"/>
      <c r="E15" s="81"/>
      <c r="F15" s="79"/>
      <c r="G15" s="80"/>
      <c r="H15" s="80"/>
      <c r="I15" s="80"/>
      <c r="J15" s="81"/>
      <c r="K15" s="12"/>
      <c r="L15" s="12"/>
    </row>
    <row r="16" spans="2:12" ht="45.75" customHeight="1" x14ac:dyDescent="0.25">
      <c r="B16" s="21"/>
      <c r="C16" s="79"/>
      <c r="D16" s="80"/>
      <c r="E16" s="81"/>
      <c r="F16" s="79"/>
      <c r="G16" s="80"/>
      <c r="H16" s="80"/>
      <c r="I16" s="80"/>
      <c r="J16" s="81"/>
      <c r="K16" s="12"/>
      <c r="L16" s="12"/>
    </row>
    <row r="17" spans="2:15" ht="27"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8"/>
      <c r="L21" s="8"/>
    </row>
    <row r="22" spans="2:15" x14ac:dyDescent="0.25">
      <c r="B22" s="22"/>
      <c r="C22" s="76"/>
      <c r="D22" s="77"/>
      <c r="E22" s="78"/>
      <c r="F22" s="84"/>
      <c r="G22" s="80"/>
      <c r="H22" s="80"/>
      <c r="I22" s="80"/>
      <c r="J22" s="81"/>
      <c r="K22" s="8"/>
      <c r="L22" s="8"/>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5"/>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31</v>
      </c>
      <c r="E4" s="2" t="s">
        <v>20</v>
      </c>
      <c r="F4" s="2" t="s">
        <v>16</v>
      </c>
      <c r="G4" s="2" t="s">
        <v>61</v>
      </c>
      <c r="H4" s="2" t="s">
        <v>62</v>
      </c>
      <c r="I4" s="2"/>
      <c r="J4" s="2" t="s">
        <v>62</v>
      </c>
      <c r="K4" s="37">
        <v>42153</v>
      </c>
    </row>
    <row r="5" spans="2:12" x14ac:dyDescent="0.25">
      <c r="C5" s="4" t="s">
        <v>517</v>
      </c>
      <c r="D5" s="85" t="s">
        <v>523</v>
      </c>
      <c r="E5" s="85"/>
      <c r="F5" s="85"/>
      <c r="G5" s="85"/>
      <c r="H5" s="85"/>
      <c r="I5" s="85"/>
      <c r="J5" s="85"/>
      <c r="K5" s="85"/>
    </row>
    <row r="6" spans="2:12" s="6" customFormat="1" ht="15" customHeight="1" x14ac:dyDescent="0.25">
      <c r="C6" s="7" t="s">
        <v>467</v>
      </c>
      <c r="D6" s="12" t="s">
        <v>519</v>
      </c>
      <c r="E6" s="76" t="s">
        <v>609</v>
      </c>
      <c r="F6" s="77"/>
      <c r="G6" s="77"/>
      <c r="H6" s="77"/>
      <c r="I6" s="77"/>
      <c r="J6" s="77"/>
      <c r="K6" s="78"/>
    </row>
    <row r="7" spans="2:12" x14ac:dyDescent="0.25">
      <c r="C7" s="4" t="s">
        <v>9</v>
      </c>
      <c r="D7" s="82" t="s">
        <v>63</v>
      </c>
      <c r="E7" s="82"/>
      <c r="F7" s="82"/>
      <c r="G7" s="82"/>
      <c r="H7" s="82"/>
      <c r="I7" s="82"/>
      <c r="J7" s="82"/>
      <c r="K7" s="82"/>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x14ac:dyDescent="0.25">
      <c r="B10" s="21">
        <v>1</v>
      </c>
      <c r="C10" s="79" t="s">
        <v>114</v>
      </c>
      <c r="D10" s="80"/>
      <c r="E10" s="81"/>
      <c r="F10" s="79" t="s">
        <v>113</v>
      </c>
      <c r="G10" s="77"/>
      <c r="H10" s="77"/>
      <c r="I10" s="77"/>
      <c r="J10" s="78"/>
      <c r="K10" s="12" t="s">
        <v>519</v>
      </c>
      <c r="L10" s="12"/>
    </row>
    <row r="11" spans="2:12" ht="36.75" customHeight="1" x14ac:dyDescent="0.25">
      <c r="B11" s="21">
        <v>2</v>
      </c>
      <c r="C11" s="79" t="s">
        <v>117</v>
      </c>
      <c r="D11" s="80"/>
      <c r="E11" s="81"/>
      <c r="F11" s="79" t="s">
        <v>118</v>
      </c>
      <c r="G11" s="77"/>
      <c r="H11" s="77"/>
      <c r="I11" s="77"/>
      <c r="J11" s="78"/>
      <c r="K11" s="12" t="s">
        <v>519</v>
      </c>
      <c r="L11" s="12"/>
    </row>
    <row r="12" spans="2:12" ht="36" customHeight="1" x14ac:dyDescent="0.25">
      <c r="B12" s="21">
        <v>3</v>
      </c>
      <c r="C12" s="79" t="s">
        <v>115</v>
      </c>
      <c r="D12" s="80"/>
      <c r="E12" s="81"/>
      <c r="F12" s="79" t="s">
        <v>116</v>
      </c>
      <c r="G12" s="77"/>
      <c r="H12" s="77"/>
      <c r="I12" s="77"/>
      <c r="J12" s="78"/>
      <c r="K12" s="12" t="s">
        <v>519</v>
      </c>
      <c r="L12" s="12"/>
    </row>
    <row r="13" spans="2:12" ht="29.25" customHeight="1" x14ac:dyDescent="0.25">
      <c r="B13" s="21">
        <v>4</v>
      </c>
      <c r="C13" s="79" t="s">
        <v>119</v>
      </c>
      <c r="D13" s="80"/>
      <c r="E13" s="81"/>
      <c r="F13" s="79" t="s">
        <v>122</v>
      </c>
      <c r="G13" s="80"/>
      <c r="H13" s="80"/>
      <c r="I13" s="80"/>
      <c r="J13" s="81"/>
      <c r="K13" s="12" t="s">
        <v>519</v>
      </c>
      <c r="L13" s="12"/>
    </row>
    <row r="14" spans="2:12" x14ac:dyDescent="0.25">
      <c r="B14" s="21">
        <v>5</v>
      </c>
      <c r="C14" s="79" t="s">
        <v>120</v>
      </c>
      <c r="D14" s="80"/>
      <c r="E14" s="81"/>
      <c r="F14" s="79" t="s">
        <v>121</v>
      </c>
      <c r="G14" s="80"/>
      <c r="H14" s="80"/>
      <c r="I14" s="80"/>
      <c r="J14" s="81"/>
      <c r="K14" s="12" t="s">
        <v>519</v>
      </c>
      <c r="L14" s="12"/>
    </row>
    <row r="15" spans="2:12" x14ac:dyDescent="0.25">
      <c r="B15" s="21">
        <v>6</v>
      </c>
      <c r="C15" s="79" t="s">
        <v>123</v>
      </c>
      <c r="D15" s="80"/>
      <c r="E15" s="81"/>
      <c r="F15" s="79" t="s">
        <v>124</v>
      </c>
      <c r="G15" s="80"/>
      <c r="H15" s="80"/>
      <c r="I15" s="80"/>
      <c r="J15" s="81"/>
      <c r="K15" s="12" t="s">
        <v>519</v>
      </c>
      <c r="L15" s="12"/>
    </row>
    <row r="16" spans="2:12" x14ac:dyDescent="0.25">
      <c r="B16" s="21">
        <v>7</v>
      </c>
      <c r="C16" s="79" t="s">
        <v>125</v>
      </c>
      <c r="D16" s="80"/>
      <c r="E16" s="81"/>
      <c r="F16" s="79" t="s">
        <v>126</v>
      </c>
      <c r="G16" s="80"/>
      <c r="H16" s="80"/>
      <c r="I16" s="80"/>
      <c r="J16" s="81"/>
      <c r="K16" s="12" t="s">
        <v>519</v>
      </c>
      <c r="L16" s="12"/>
    </row>
    <row r="17" spans="2:12" x14ac:dyDescent="0.25">
      <c r="B17" s="21">
        <v>8</v>
      </c>
      <c r="C17" s="79" t="s">
        <v>127</v>
      </c>
      <c r="D17" s="80"/>
      <c r="E17" s="81"/>
      <c r="F17" s="79" t="s">
        <v>128</v>
      </c>
      <c r="G17" s="80"/>
      <c r="H17" s="80"/>
      <c r="I17" s="80"/>
      <c r="J17" s="81"/>
      <c r="K17" s="12" t="s">
        <v>519</v>
      </c>
      <c r="L17" s="12"/>
    </row>
    <row r="18" spans="2:12" x14ac:dyDescent="0.25">
      <c r="B18" s="21">
        <v>9</v>
      </c>
      <c r="C18" s="79" t="s">
        <v>129</v>
      </c>
      <c r="D18" s="80"/>
      <c r="E18" s="81"/>
      <c r="F18" s="79" t="s">
        <v>130</v>
      </c>
      <c r="G18" s="80"/>
      <c r="H18" s="80"/>
      <c r="I18" s="80"/>
      <c r="J18" s="81"/>
      <c r="K18" s="12" t="s">
        <v>519</v>
      </c>
      <c r="L18" s="12"/>
    </row>
    <row r="19" spans="2:12" x14ac:dyDescent="0.25">
      <c r="B19" s="21">
        <v>10</v>
      </c>
      <c r="C19" s="79" t="s">
        <v>131</v>
      </c>
      <c r="D19" s="80"/>
      <c r="E19" s="81"/>
      <c r="F19" s="79" t="s">
        <v>132</v>
      </c>
      <c r="G19" s="80"/>
      <c r="H19" s="80"/>
      <c r="I19" s="80"/>
      <c r="J19" s="81"/>
      <c r="K19" s="12" t="s">
        <v>519</v>
      </c>
      <c r="L19" s="12"/>
    </row>
    <row r="20" spans="2:12" ht="45" x14ac:dyDescent="0.25">
      <c r="B20" s="21">
        <v>11</v>
      </c>
      <c r="C20" s="79" t="s">
        <v>133</v>
      </c>
      <c r="D20" s="80"/>
      <c r="E20" s="81"/>
      <c r="F20" s="79" t="s">
        <v>134</v>
      </c>
      <c r="G20" s="80"/>
      <c r="H20" s="80"/>
      <c r="I20" s="80"/>
      <c r="J20" s="81"/>
      <c r="K20" s="12" t="s">
        <v>519</v>
      </c>
      <c r="L20" s="61" t="s">
        <v>607</v>
      </c>
    </row>
    <row r="21" spans="2:12" x14ac:dyDescent="0.25">
      <c r="B21" s="21">
        <v>12</v>
      </c>
      <c r="C21" s="84" t="s">
        <v>135</v>
      </c>
      <c r="D21" s="80"/>
      <c r="E21" s="81"/>
      <c r="F21" s="84" t="s">
        <v>136</v>
      </c>
      <c r="G21" s="80"/>
      <c r="H21" s="80"/>
      <c r="I21" s="80"/>
      <c r="J21" s="81"/>
      <c r="K21" s="12" t="s">
        <v>519</v>
      </c>
      <c r="L21" s="8"/>
    </row>
    <row r="22" spans="2:12" x14ac:dyDescent="0.25">
      <c r="B22" s="21">
        <v>13</v>
      </c>
      <c r="C22" s="76" t="s">
        <v>137</v>
      </c>
      <c r="D22" s="77"/>
      <c r="E22" s="78"/>
      <c r="F22" s="84" t="s">
        <v>138</v>
      </c>
      <c r="G22" s="80"/>
      <c r="H22" s="80"/>
      <c r="I22" s="80"/>
      <c r="J22" s="81"/>
      <c r="K22" s="12" t="s">
        <v>519</v>
      </c>
      <c r="L22" s="8"/>
    </row>
    <row r="25" spans="2:12" x14ac:dyDescent="0.25">
      <c r="C25" s="7" t="s">
        <v>15</v>
      </c>
      <c r="D25" s="82" t="s">
        <v>139</v>
      </c>
      <c r="E25" s="82"/>
      <c r="F25" s="82"/>
      <c r="G25" s="82"/>
      <c r="H25" s="82"/>
      <c r="I25" s="82"/>
      <c r="J25" s="82"/>
      <c r="K25" s="82"/>
    </row>
  </sheetData>
  <mergeCells count="32">
    <mergeCell ref="C14:E14"/>
    <mergeCell ref="F14:J14"/>
    <mergeCell ref="C15:E15"/>
    <mergeCell ref="C11:E11"/>
    <mergeCell ref="F11:J11"/>
    <mergeCell ref="C13:E13"/>
    <mergeCell ref="F13:J13"/>
    <mergeCell ref="F15:J15"/>
    <mergeCell ref="C12:E12"/>
    <mergeCell ref="F12:J12"/>
    <mergeCell ref="D5:K5"/>
    <mergeCell ref="D7:K7"/>
    <mergeCell ref="C9:E9"/>
    <mergeCell ref="F9:J9"/>
    <mergeCell ref="C10:E10"/>
    <mergeCell ref="F10:J10"/>
    <mergeCell ref="E6:K6"/>
    <mergeCell ref="C16:E16"/>
    <mergeCell ref="F16:J16"/>
    <mergeCell ref="C17:E17"/>
    <mergeCell ref="F17:J17"/>
    <mergeCell ref="C18:E18"/>
    <mergeCell ref="F18:J18"/>
    <mergeCell ref="C22:E22"/>
    <mergeCell ref="F22:J22"/>
    <mergeCell ref="D25:K25"/>
    <mergeCell ref="C19:E19"/>
    <mergeCell ref="F19:J19"/>
    <mergeCell ref="C20:E20"/>
    <mergeCell ref="F20:J20"/>
    <mergeCell ref="C21:E21"/>
    <mergeCell ref="F21:J21"/>
  </mergeCells>
  <dataValidations count="1">
    <dataValidation type="list" allowBlank="1" showInputMessage="1" showErrorMessage="1" promptTitle="Choose Result" sqref="D6 K10:K22">
      <formula1>TestResult</formula1>
    </dataValidation>
  </dataValidation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47</v>
      </c>
      <c r="E4" s="2" t="s">
        <v>140</v>
      </c>
      <c r="F4" s="2" t="s">
        <v>16</v>
      </c>
      <c r="G4" s="2" t="s">
        <v>61</v>
      </c>
      <c r="H4" s="2" t="s">
        <v>62</v>
      </c>
      <c r="I4" s="2"/>
      <c r="J4" s="2" t="s">
        <v>62</v>
      </c>
      <c r="K4" s="40">
        <v>42154</v>
      </c>
    </row>
    <row r="5" spans="2:12" x14ac:dyDescent="0.25">
      <c r="C5" s="4" t="s">
        <v>517</v>
      </c>
      <c r="D5" s="85" t="s">
        <v>524</v>
      </c>
      <c r="E5" s="85"/>
      <c r="F5" s="85"/>
      <c r="G5" s="85"/>
      <c r="H5" s="85"/>
      <c r="I5" s="85"/>
      <c r="J5" s="85"/>
      <c r="K5" s="85"/>
    </row>
    <row r="6" spans="2:12" s="6" customFormat="1" ht="15" customHeight="1" x14ac:dyDescent="0.25">
      <c r="C6" s="7" t="s">
        <v>467</v>
      </c>
      <c r="D6" s="12" t="s">
        <v>519</v>
      </c>
      <c r="E6" s="76" t="s">
        <v>609</v>
      </c>
      <c r="F6" s="77"/>
      <c r="G6" s="77"/>
      <c r="H6" s="77"/>
      <c r="I6" s="77"/>
      <c r="J6" s="77"/>
      <c r="K6" s="78"/>
    </row>
    <row r="7" spans="2:12" x14ac:dyDescent="0.25">
      <c r="C7" s="4" t="s">
        <v>9</v>
      </c>
      <c r="D7" s="82" t="s">
        <v>63</v>
      </c>
      <c r="E7" s="82"/>
      <c r="F7" s="82"/>
      <c r="G7" s="82"/>
      <c r="H7" s="82"/>
      <c r="I7" s="82"/>
      <c r="J7" s="82"/>
      <c r="K7" s="82"/>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ht="31.5" customHeight="1" x14ac:dyDescent="0.25">
      <c r="B10" s="21">
        <v>1</v>
      </c>
      <c r="C10" s="79" t="s">
        <v>114</v>
      </c>
      <c r="D10" s="80"/>
      <c r="E10" s="81"/>
      <c r="F10" s="79" t="s">
        <v>141</v>
      </c>
      <c r="G10" s="77"/>
      <c r="H10" s="77"/>
      <c r="I10" s="77"/>
      <c r="J10" s="78"/>
      <c r="K10" s="12" t="s">
        <v>519</v>
      </c>
      <c r="L10" s="12"/>
    </row>
    <row r="11" spans="2:12" ht="56.25" customHeight="1" x14ac:dyDescent="0.25">
      <c r="B11" s="21">
        <v>2</v>
      </c>
      <c r="C11" s="79" t="s">
        <v>142</v>
      </c>
      <c r="D11" s="80"/>
      <c r="E11" s="81"/>
      <c r="F11" s="79" t="s">
        <v>471</v>
      </c>
      <c r="G11" s="77"/>
      <c r="H11" s="77"/>
      <c r="I11" s="77"/>
      <c r="J11" s="78"/>
      <c r="K11" s="12" t="s">
        <v>519</v>
      </c>
      <c r="L11" s="12"/>
    </row>
    <row r="12" spans="2:12" ht="36.75" customHeight="1" x14ac:dyDescent="0.25">
      <c r="B12" s="21">
        <v>3</v>
      </c>
      <c r="C12" s="79" t="s">
        <v>472</v>
      </c>
      <c r="D12" s="80"/>
      <c r="E12" s="81"/>
      <c r="F12" s="79" t="s">
        <v>118</v>
      </c>
      <c r="G12" s="77"/>
      <c r="H12" s="77"/>
      <c r="I12" s="77"/>
      <c r="J12" s="78"/>
      <c r="K12" s="12" t="s">
        <v>519</v>
      </c>
      <c r="L12" s="12"/>
    </row>
    <row r="13" spans="2:12" ht="55.5" customHeight="1" x14ac:dyDescent="0.25">
      <c r="B13" s="21">
        <v>4</v>
      </c>
      <c r="C13" s="79" t="s">
        <v>145</v>
      </c>
      <c r="D13" s="87"/>
      <c r="E13" s="88"/>
      <c r="F13" s="79" t="s">
        <v>116</v>
      </c>
      <c r="G13" s="87"/>
      <c r="H13" s="87"/>
      <c r="I13" s="87"/>
      <c r="J13" s="88"/>
      <c r="K13" s="12" t="s">
        <v>519</v>
      </c>
      <c r="L13" s="42"/>
    </row>
    <row r="14" spans="2:12" ht="36" customHeight="1" x14ac:dyDescent="0.25">
      <c r="B14" s="21">
        <v>5</v>
      </c>
      <c r="C14" s="79" t="s">
        <v>473</v>
      </c>
      <c r="D14" s="87"/>
      <c r="E14" s="88"/>
      <c r="F14" s="79" t="s">
        <v>471</v>
      </c>
      <c r="G14" s="77"/>
      <c r="H14" s="77"/>
      <c r="I14" s="77"/>
      <c r="J14" s="78"/>
      <c r="K14" s="12" t="s">
        <v>519</v>
      </c>
      <c r="L14" s="12"/>
    </row>
    <row r="15" spans="2:12" ht="29.25" customHeight="1" x14ac:dyDescent="0.25">
      <c r="B15" s="21">
        <v>5</v>
      </c>
      <c r="C15" s="79" t="s">
        <v>119</v>
      </c>
      <c r="D15" s="80"/>
      <c r="E15" s="81"/>
      <c r="F15" s="79" t="s">
        <v>122</v>
      </c>
      <c r="G15" s="80"/>
      <c r="H15" s="80"/>
      <c r="I15" s="80"/>
      <c r="J15" s="81"/>
      <c r="K15" s="12" t="s">
        <v>519</v>
      </c>
      <c r="L15" s="12"/>
    </row>
    <row r="16" spans="2:12" x14ac:dyDescent="0.25">
      <c r="B16" s="21">
        <v>6</v>
      </c>
      <c r="C16" s="79" t="s">
        <v>120</v>
      </c>
      <c r="D16" s="80"/>
      <c r="E16" s="81"/>
      <c r="F16" s="79" t="s">
        <v>121</v>
      </c>
      <c r="G16" s="80"/>
      <c r="H16" s="80"/>
      <c r="I16" s="80"/>
      <c r="J16" s="81"/>
      <c r="K16" s="12" t="s">
        <v>519</v>
      </c>
      <c r="L16" s="12"/>
    </row>
    <row r="17" spans="2:12" x14ac:dyDescent="0.25">
      <c r="B17" s="21">
        <v>7</v>
      </c>
      <c r="C17" s="79" t="s">
        <v>123</v>
      </c>
      <c r="D17" s="80"/>
      <c r="E17" s="81"/>
      <c r="F17" s="79" t="s">
        <v>124</v>
      </c>
      <c r="G17" s="80"/>
      <c r="H17" s="80"/>
      <c r="I17" s="80"/>
      <c r="J17" s="81"/>
      <c r="K17" s="12" t="s">
        <v>519</v>
      </c>
      <c r="L17" s="12"/>
    </row>
    <row r="18" spans="2:12" x14ac:dyDescent="0.25">
      <c r="B18" s="21">
        <v>8</v>
      </c>
      <c r="C18" s="79" t="s">
        <v>125</v>
      </c>
      <c r="D18" s="80"/>
      <c r="E18" s="81"/>
      <c r="F18" s="79" t="s">
        <v>126</v>
      </c>
      <c r="G18" s="80"/>
      <c r="H18" s="80"/>
      <c r="I18" s="80"/>
      <c r="J18" s="81"/>
      <c r="K18" s="12" t="s">
        <v>519</v>
      </c>
      <c r="L18" s="12"/>
    </row>
    <row r="19" spans="2:12" x14ac:dyDescent="0.25">
      <c r="B19" s="21">
        <v>9</v>
      </c>
      <c r="C19" s="79" t="s">
        <v>127</v>
      </c>
      <c r="D19" s="80"/>
      <c r="E19" s="81"/>
      <c r="F19" s="79" t="s">
        <v>128</v>
      </c>
      <c r="G19" s="80"/>
      <c r="H19" s="80"/>
      <c r="I19" s="80"/>
      <c r="J19" s="81"/>
      <c r="K19" s="12" t="s">
        <v>519</v>
      </c>
      <c r="L19" s="12"/>
    </row>
    <row r="20" spans="2:12" x14ac:dyDescent="0.25">
      <c r="B20" s="21">
        <v>10</v>
      </c>
      <c r="C20" s="79" t="s">
        <v>129</v>
      </c>
      <c r="D20" s="80"/>
      <c r="E20" s="81"/>
      <c r="F20" s="79" t="s">
        <v>130</v>
      </c>
      <c r="G20" s="80"/>
      <c r="H20" s="80"/>
      <c r="I20" s="80"/>
      <c r="J20" s="81"/>
      <c r="K20" s="12" t="s">
        <v>519</v>
      </c>
      <c r="L20" s="12"/>
    </row>
    <row r="21" spans="2:12" x14ac:dyDescent="0.25">
      <c r="B21" s="21">
        <v>11</v>
      </c>
      <c r="C21" s="79" t="s">
        <v>131</v>
      </c>
      <c r="D21" s="80"/>
      <c r="E21" s="81"/>
      <c r="F21" s="79" t="s">
        <v>132</v>
      </c>
      <c r="G21" s="80"/>
      <c r="H21" s="80"/>
      <c r="I21" s="80"/>
      <c r="J21" s="81"/>
      <c r="K21" s="12" t="s">
        <v>519</v>
      </c>
      <c r="L21" s="12"/>
    </row>
    <row r="22" spans="2:12" x14ac:dyDescent="0.25">
      <c r="B22" s="21">
        <v>12</v>
      </c>
      <c r="C22" s="79" t="s">
        <v>143</v>
      </c>
      <c r="D22" s="80"/>
      <c r="E22" s="81"/>
      <c r="F22" s="79" t="s">
        <v>134</v>
      </c>
      <c r="G22" s="80"/>
      <c r="H22" s="80"/>
      <c r="I22" s="80"/>
      <c r="J22" s="81"/>
      <c r="K22" s="12" t="s">
        <v>519</v>
      </c>
      <c r="L22" s="61" t="s">
        <v>605</v>
      </c>
    </row>
    <row r="23" spans="2:12" x14ac:dyDescent="0.25">
      <c r="B23" s="21">
        <v>13</v>
      </c>
      <c r="C23" s="84" t="s">
        <v>146</v>
      </c>
      <c r="D23" s="80"/>
      <c r="E23" s="81"/>
      <c r="F23" s="84" t="s">
        <v>147</v>
      </c>
      <c r="G23" s="80"/>
      <c r="H23" s="80"/>
      <c r="I23" s="80"/>
      <c r="J23" s="81"/>
      <c r="K23" s="12" t="s">
        <v>519</v>
      </c>
      <c r="L23" s="8"/>
    </row>
    <row r="24" spans="2:12" x14ac:dyDescent="0.25">
      <c r="B24" s="21">
        <v>14</v>
      </c>
      <c r="C24" s="76" t="s">
        <v>475</v>
      </c>
      <c r="D24" s="77"/>
      <c r="E24" s="78"/>
      <c r="F24" s="84" t="s">
        <v>136</v>
      </c>
      <c r="G24" s="80"/>
      <c r="H24" s="80"/>
      <c r="I24" s="80"/>
      <c r="J24" s="81"/>
      <c r="K24" s="12" t="s">
        <v>519</v>
      </c>
      <c r="L24" s="8"/>
    </row>
    <row r="25" spans="2:12" ht="15" customHeight="1" x14ac:dyDescent="0.25">
      <c r="B25" s="21">
        <v>15</v>
      </c>
      <c r="C25" s="76" t="s">
        <v>476</v>
      </c>
      <c r="D25" s="77"/>
      <c r="E25" s="78"/>
      <c r="F25" s="84" t="s">
        <v>138</v>
      </c>
      <c r="G25" s="80"/>
      <c r="H25" s="80"/>
      <c r="I25" s="80"/>
      <c r="J25" s="81"/>
      <c r="K25" s="12" t="s">
        <v>519</v>
      </c>
      <c r="L25" s="38"/>
    </row>
    <row r="27" spans="2:12" x14ac:dyDescent="0.25">
      <c r="C27" s="7" t="s">
        <v>15</v>
      </c>
      <c r="D27" s="82" t="s">
        <v>139</v>
      </c>
      <c r="E27" s="82"/>
      <c r="F27" s="82"/>
      <c r="G27" s="82"/>
      <c r="H27" s="82"/>
      <c r="I27" s="82"/>
      <c r="J27" s="82"/>
      <c r="K27" s="82"/>
    </row>
  </sheetData>
  <mergeCells count="38">
    <mergeCell ref="C12:E12"/>
    <mergeCell ref="F12:J12"/>
    <mergeCell ref="C25:E25"/>
    <mergeCell ref="F25:J25"/>
    <mergeCell ref="D5:K5"/>
    <mergeCell ref="D7:K7"/>
    <mergeCell ref="C9:E9"/>
    <mergeCell ref="F9:J9"/>
    <mergeCell ref="C10:E10"/>
    <mergeCell ref="F10:J10"/>
    <mergeCell ref="E6:K6"/>
    <mergeCell ref="C13:E13"/>
    <mergeCell ref="F13:J13"/>
    <mergeCell ref="C14:E14"/>
    <mergeCell ref="F14:J14"/>
    <mergeCell ref="C15:E15"/>
    <mergeCell ref="F15:J15"/>
    <mergeCell ref="F16:J16"/>
    <mergeCell ref="C17:E17"/>
    <mergeCell ref="F17:J17"/>
    <mergeCell ref="C18:E18"/>
    <mergeCell ref="F18:J18"/>
    <mergeCell ref="D27:K27"/>
    <mergeCell ref="C11:E11"/>
    <mergeCell ref="F11:J11"/>
    <mergeCell ref="C22:E22"/>
    <mergeCell ref="F22:J22"/>
    <mergeCell ref="C23:E23"/>
    <mergeCell ref="F23:J23"/>
    <mergeCell ref="C24:E24"/>
    <mergeCell ref="F24:J24"/>
    <mergeCell ref="C19:E19"/>
    <mergeCell ref="F19:J19"/>
    <mergeCell ref="C20:E20"/>
    <mergeCell ref="F20:J20"/>
    <mergeCell ref="C21:E21"/>
    <mergeCell ref="F21:J21"/>
    <mergeCell ref="C16:E16"/>
  </mergeCells>
  <dataValidations count="1">
    <dataValidation type="list" allowBlank="1" showInputMessage="1" showErrorMessage="1" promptTitle="Choose Result" sqref="D6 K10:K25">
      <formula1>TestResult</formula1>
    </dataValidation>
  </dataValidations>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48</v>
      </c>
      <c r="E4" s="2" t="s">
        <v>148</v>
      </c>
      <c r="F4" s="2" t="s">
        <v>16</v>
      </c>
      <c r="G4" s="2" t="s">
        <v>61</v>
      </c>
      <c r="H4" s="2" t="s">
        <v>62</v>
      </c>
      <c r="I4" s="2"/>
      <c r="J4" s="2" t="s">
        <v>62</v>
      </c>
      <c r="K4" s="40">
        <v>42154</v>
      </c>
    </row>
    <row r="5" spans="2:12" x14ac:dyDescent="0.25">
      <c r="C5" s="4" t="s">
        <v>517</v>
      </c>
      <c r="D5" s="85" t="s">
        <v>525</v>
      </c>
      <c r="E5" s="85"/>
      <c r="F5" s="85"/>
      <c r="G5" s="85"/>
      <c r="H5" s="85"/>
      <c r="I5" s="85"/>
      <c r="J5" s="85"/>
      <c r="K5" s="85"/>
    </row>
    <row r="6" spans="2:12" s="6" customFormat="1" x14ac:dyDescent="0.25">
      <c r="C6" s="7" t="s">
        <v>467</v>
      </c>
      <c r="D6" s="12" t="s">
        <v>519</v>
      </c>
      <c r="E6" s="76" t="s">
        <v>609</v>
      </c>
      <c r="F6" s="77"/>
      <c r="G6" s="77"/>
      <c r="H6" s="77"/>
      <c r="I6" s="77"/>
      <c r="J6" s="77"/>
      <c r="K6" s="78"/>
    </row>
    <row r="7" spans="2:12" x14ac:dyDescent="0.25">
      <c r="C7" s="4" t="s">
        <v>9</v>
      </c>
      <c r="D7" s="82" t="s">
        <v>63</v>
      </c>
      <c r="E7" s="82"/>
      <c r="F7" s="82"/>
      <c r="G7" s="82"/>
      <c r="H7" s="82"/>
      <c r="I7" s="82"/>
      <c r="J7" s="82"/>
      <c r="K7" s="82"/>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ht="26.25" customHeight="1" x14ac:dyDescent="0.25">
      <c r="B10" s="21">
        <v>1</v>
      </c>
      <c r="C10" s="79" t="s">
        <v>114</v>
      </c>
      <c r="D10" s="80"/>
      <c r="E10" s="81"/>
      <c r="F10" s="79" t="s">
        <v>151</v>
      </c>
      <c r="G10" s="77"/>
      <c r="H10" s="77"/>
      <c r="I10" s="77"/>
      <c r="J10" s="78"/>
      <c r="K10" s="12" t="s">
        <v>519</v>
      </c>
      <c r="L10" s="12"/>
    </row>
    <row r="11" spans="2:12" ht="26.25" customHeight="1" x14ac:dyDescent="0.25">
      <c r="B11" s="21">
        <v>2</v>
      </c>
      <c r="C11" s="79" t="s">
        <v>149</v>
      </c>
      <c r="D11" s="80"/>
      <c r="E11" s="81"/>
      <c r="F11" s="79" t="s">
        <v>150</v>
      </c>
      <c r="G11" s="77"/>
      <c r="H11" s="77"/>
      <c r="I11" s="77"/>
      <c r="J11" s="78"/>
      <c r="K11" s="12" t="s">
        <v>519</v>
      </c>
      <c r="L11" s="12"/>
    </row>
    <row r="12" spans="2:12" ht="51" customHeight="1" x14ac:dyDescent="0.25">
      <c r="B12" s="21">
        <v>3</v>
      </c>
      <c r="C12" s="79" t="s">
        <v>152</v>
      </c>
      <c r="D12" s="80"/>
      <c r="E12" s="81"/>
      <c r="F12" s="79" t="s">
        <v>104</v>
      </c>
      <c r="G12" s="77"/>
      <c r="H12" s="77"/>
      <c r="I12" s="77"/>
      <c r="J12" s="78"/>
      <c r="K12" s="12" t="s">
        <v>519</v>
      </c>
      <c r="L12" s="12"/>
    </row>
    <row r="13" spans="2:12" ht="36.75" customHeight="1" x14ac:dyDescent="0.25">
      <c r="B13" s="21">
        <v>4</v>
      </c>
      <c r="C13" s="79" t="s">
        <v>117</v>
      </c>
      <c r="D13" s="80"/>
      <c r="E13" s="81"/>
      <c r="F13" s="79" t="s">
        <v>118</v>
      </c>
      <c r="G13" s="77"/>
      <c r="H13" s="77"/>
      <c r="I13" s="77"/>
      <c r="J13" s="78"/>
      <c r="K13" s="12" t="s">
        <v>519</v>
      </c>
      <c r="L13" s="12"/>
    </row>
    <row r="14" spans="2:12" ht="29.25" customHeight="1" x14ac:dyDescent="0.25">
      <c r="B14" s="21">
        <v>5</v>
      </c>
      <c r="C14" s="79" t="s">
        <v>154</v>
      </c>
      <c r="D14" s="80"/>
      <c r="E14" s="81"/>
      <c r="F14" s="79" t="s">
        <v>155</v>
      </c>
      <c r="G14" s="80"/>
      <c r="H14" s="80"/>
      <c r="I14" s="80"/>
      <c r="J14" s="81"/>
      <c r="K14" s="12" t="s">
        <v>519</v>
      </c>
      <c r="L14" s="12"/>
    </row>
    <row r="15" spans="2:12" ht="15" customHeight="1" x14ac:dyDescent="0.25">
      <c r="B15" s="21">
        <v>6</v>
      </c>
      <c r="C15" s="79" t="s">
        <v>119</v>
      </c>
      <c r="D15" s="80"/>
      <c r="E15" s="81"/>
      <c r="F15" s="79" t="s">
        <v>122</v>
      </c>
      <c r="G15" s="80"/>
      <c r="H15" s="80"/>
      <c r="I15" s="80"/>
      <c r="J15" s="81"/>
      <c r="K15" s="12" t="s">
        <v>519</v>
      </c>
      <c r="L15" s="12"/>
    </row>
    <row r="16" spans="2:12" ht="15" customHeight="1" x14ac:dyDescent="0.25">
      <c r="B16" s="21">
        <v>7</v>
      </c>
      <c r="C16" s="79" t="s">
        <v>120</v>
      </c>
      <c r="D16" s="80"/>
      <c r="E16" s="81"/>
      <c r="F16" s="79" t="s">
        <v>121</v>
      </c>
      <c r="G16" s="80"/>
      <c r="H16" s="80"/>
      <c r="I16" s="80"/>
      <c r="J16" s="81"/>
      <c r="K16" s="12" t="s">
        <v>519</v>
      </c>
      <c r="L16" s="12"/>
    </row>
    <row r="17" spans="2:12" ht="15" customHeight="1" x14ac:dyDescent="0.25">
      <c r="B17" s="21">
        <v>8</v>
      </c>
      <c r="C17" s="79" t="s">
        <v>123</v>
      </c>
      <c r="D17" s="80"/>
      <c r="E17" s="81"/>
      <c r="F17" s="79" t="s">
        <v>124</v>
      </c>
      <c r="G17" s="80"/>
      <c r="H17" s="80"/>
      <c r="I17" s="80"/>
      <c r="J17" s="81"/>
      <c r="K17" s="12" t="s">
        <v>519</v>
      </c>
      <c r="L17" s="12"/>
    </row>
    <row r="18" spans="2:12" ht="15" customHeight="1" x14ac:dyDescent="0.25">
      <c r="B18" s="21">
        <v>9</v>
      </c>
      <c r="C18" s="79" t="s">
        <v>125</v>
      </c>
      <c r="D18" s="80"/>
      <c r="E18" s="81"/>
      <c r="F18" s="79" t="s">
        <v>126</v>
      </c>
      <c r="G18" s="80"/>
      <c r="H18" s="80"/>
      <c r="I18" s="80"/>
      <c r="J18" s="81"/>
      <c r="K18" s="12" t="s">
        <v>519</v>
      </c>
      <c r="L18" s="12"/>
    </row>
    <row r="19" spans="2:12" ht="15" customHeight="1" x14ac:dyDescent="0.25">
      <c r="B19" s="21">
        <v>10</v>
      </c>
      <c r="C19" s="79" t="s">
        <v>127</v>
      </c>
      <c r="D19" s="80"/>
      <c r="E19" s="81"/>
      <c r="F19" s="79" t="s">
        <v>128</v>
      </c>
      <c r="G19" s="80"/>
      <c r="H19" s="80"/>
      <c r="I19" s="80"/>
      <c r="J19" s="81"/>
      <c r="K19" s="12" t="s">
        <v>519</v>
      </c>
      <c r="L19" s="12"/>
    </row>
    <row r="20" spans="2:12" ht="15" customHeight="1" x14ac:dyDescent="0.25">
      <c r="B20" s="21">
        <v>11</v>
      </c>
      <c r="C20" s="79" t="s">
        <v>129</v>
      </c>
      <c r="D20" s="80"/>
      <c r="E20" s="81"/>
      <c r="F20" s="79" t="s">
        <v>130</v>
      </c>
      <c r="G20" s="80"/>
      <c r="H20" s="80"/>
      <c r="I20" s="80"/>
      <c r="J20" s="81"/>
      <c r="K20" s="12" t="s">
        <v>519</v>
      </c>
      <c r="L20" s="12"/>
    </row>
    <row r="21" spans="2:12" ht="15" customHeight="1" x14ac:dyDescent="0.25">
      <c r="B21" s="21">
        <v>12</v>
      </c>
      <c r="C21" s="79" t="s">
        <v>131</v>
      </c>
      <c r="D21" s="80"/>
      <c r="E21" s="81"/>
      <c r="F21" s="79" t="s">
        <v>132</v>
      </c>
      <c r="G21" s="80"/>
      <c r="H21" s="80"/>
      <c r="I21" s="80"/>
      <c r="J21" s="81"/>
      <c r="K21" s="12" t="s">
        <v>519</v>
      </c>
      <c r="L21" s="12"/>
    </row>
    <row r="22" spans="2:12" ht="69" customHeight="1" x14ac:dyDescent="0.25">
      <c r="B22" s="21">
        <v>13</v>
      </c>
      <c r="C22" s="79" t="s">
        <v>153</v>
      </c>
      <c r="D22" s="80"/>
      <c r="E22" s="81"/>
      <c r="F22" s="79" t="s">
        <v>160</v>
      </c>
      <c r="G22" s="77"/>
      <c r="H22" s="77"/>
      <c r="I22" s="77"/>
      <c r="J22" s="78"/>
      <c r="K22" s="12" t="s">
        <v>519</v>
      </c>
      <c r="L22" s="8"/>
    </row>
    <row r="23" spans="2:12" x14ac:dyDescent="0.25">
      <c r="B23" s="21"/>
      <c r="C23" s="76"/>
      <c r="D23" s="77"/>
      <c r="E23" s="78"/>
      <c r="F23" s="84"/>
      <c r="G23" s="80"/>
      <c r="H23" s="80"/>
      <c r="I23" s="80"/>
      <c r="J23" s="81"/>
      <c r="K23" s="12"/>
      <c r="L23" s="8"/>
    </row>
    <row r="26" spans="2:12" x14ac:dyDescent="0.25">
      <c r="C26" s="7" t="s">
        <v>15</v>
      </c>
      <c r="D26" s="82" t="s">
        <v>139</v>
      </c>
      <c r="E26" s="82"/>
      <c r="F26" s="82"/>
      <c r="G26" s="82"/>
      <c r="H26" s="82"/>
      <c r="I26" s="82"/>
      <c r="J26" s="82"/>
      <c r="K26" s="82"/>
    </row>
  </sheetData>
  <mergeCells count="34">
    <mergeCell ref="D5:K5"/>
    <mergeCell ref="D7:K7"/>
    <mergeCell ref="C9:E9"/>
    <mergeCell ref="F9:J9"/>
    <mergeCell ref="C10:E10"/>
    <mergeCell ref="F10:J10"/>
    <mergeCell ref="E6:K6"/>
    <mergeCell ref="C22:E22"/>
    <mergeCell ref="F22:J22"/>
    <mergeCell ref="C13:E13"/>
    <mergeCell ref="F13:J13"/>
    <mergeCell ref="C14:E14"/>
    <mergeCell ref="F14:J14"/>
    <mergeCell ref="F15:J15"/>
    <mergeCell ref="C16:E16"/>
    <mergeCell ref="F16:J16"/>
    <mergeCell ref="C17:E17"/>
    <mergeCell ref="F17:J17"/>
    <mergeCell ref="D26:K26"/>
    <mergeCell ref="C11:E11"/>
    <mergeCell ref="F11:J11"/>
    <mergeCell ref="C12:E12"/>
    <mergeCell ref="F12:J12"/>
    <mergeCell ref="C21:E21"/>
    <mergeCell ref="F21:J21"/>
    <mergeCell ref="C23:E23"/>
    <mergeCell ref="F23:J23"/>
    <mergeCell ref="C18:E18"/>
    <mergeCell ref="F18:J18"/>
    <mergeCell ref="C19:E19"/>
    <mergeCell ref="F19:J19"/>
    <mergeCell ref="C20:E20"/>
    <mergeCell ref="F20:J20"/>
    <mergeCell ref="C15:E15"/>
  </mergeCells>
  <dataValidations count="1">
    <dataValidation type="list" allowBlank="1" showInputMessage="1" showErrorMessage="1" promptTitle="Choose Result" sqref="D6 K10:K23">
      <formula1>TestResult</formula1>
    </dataValidation>
  </dataValidations>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30"/>
  <sheetViews>
    <sheetView topLeftCell="A3"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49</v>
      </c>
      <c r="E4" s="2" t="s">
        <v>156</v>
      </c>
      <c r="F4" s="2" t="s">
        <v>16</v>
      </c>
      <c r="G4" s="2" t="s">
        <v>61</v>
      </c>
      <c r="H4" s="2" t="s">
        <v>62</v>
      </c>
      <c r="I4" s="2"/>
      <c r="J4" s="2" t="s">
        <v>62</v>
      </c>
      <c r="K4" s="40">
        <v>42154</v>
      </c>
    </row>
    <row r="5" spans="2:12" x14ac:dyDescent="0.25">
      <c r="C5" s="4" t="s">
        <v>517</v>
      </c>
      <c r="D5" s="85" t="s">
        <v>526</v>
      </c>
      <c r="E5" s="85"/>
      <c r="F5" s="85"/>
      <c r="G5" s="85"/>
      <c r="H5" s="85"/>
      <c r="I5" s="85"/>
      <c r="J5" s="85"/>
      <c r="K5" s="85"/>
    </row>
    <row r="6" spans="2:12" s="6" customFormat="1" x14ac:dyDescent="0.25">
      <c r="C6" s="7" t="s">
        <v>467</v>
      </c>
      <c r="D6" s="12" t="s">
        <v>519</v>
      </c>
      <c r="E6" s="76" t="s">
        <v>609</v>
      </c>
      <c r="F6" s="77"/>
      <c r="G6" s="77"/>
      <c r="H6" s="77"/>
      <c r="I6" s="77"/>
      <c r="J6" s="77"/>
      <c r="K6" s="78"/>
    </row>
    <row r="7" spans="2:12" x14ac:dyDescent="0.25">
      <c r="C7" s="4" t="s">
        <v>9</v>
      </c>
      <c r="D7" s="82" t="s">
        <v>63</v>
      </c>
      <c r="E7" s="82"/>
      <c r="F7" s="82"/>
      <c r="G7" s="82"/>
      <c r="H7" s="82"/>
      <c r="I7" s="82"/>
      <c r="J7" s="82"/>
      <c r="K7" s="82"/>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ht="31.5" customHeight="1" x14ac:dyDescent="0.25">
      <c r="B10" s="21">
        <v>1</v>
      </c>
      <c r="C10" s="79" t="s">
        <v>114</v>
      </c>
      <c r="D10" s="80"/>
      <c r="E10" s="81"/>
      <c r="F10" s="79" t="s">
        <v>141</v>
      </c>
      <c r="G10" s="77"/>
      <c r="H10" s="77"/>
      <c r="I10" s="77"/>
      <c r="J10" s="78"/>
      <c r="K10" s="12" t="s">
        <v>519</v>
      </c>
      <c r="L10" s="12"/>
    </row>
    <row r="11" spans="2:12" ht="56.25" customHeight="1" x14ac:dyDescent="0.25">
      <c r="B11" s="21">
        <v>2</v>
      </c>
      <c r="C11" s="79" t="s">
        <v>157</v>
      </c>
      <c r="D11" s="80"/>
      <c r="E11" s="81"/>
      <c r="F11" s="79" t="s">
        <v>158</v>
      </c>
      <c r="G11" s="77"/>
      <c r="H11" s="77"/>
      <c r="I11" s="77"/>
      <c r="J11" s="78"/>
      <c r="K11" s="12" t="s">
        <v>519</v>
      </c>
      <c r="L11" s="12"/>
    </row>
    <row r="12" spans="2:12" ht="56.25" customHeight="1" x14ac:dyDescent="0.25">
      <c r="B12" s="21">
        <v>3</v>
      </c>
      <c r="C12" s="79" t="s">
        <v>152</v>
      </c>
      <c r="D12" s="80"/>
      <c r="E12" s="81"/>
      <c r="F12" s="79" t="s">
        <v>104</v>
      </c>
      <c r="G12" s="77"/>
      <c r="H12" s="77"/>
      <c r="I12" s="77"/>
      <c r="J12" s="78"/>
      <c r="K12" s="12" t="s">
        <v>519</v>
      </c>
      <c r="L12" s="12"/>
    </row>
    <row r="13" spans="2:12" ht="36.75" customHeight="1" x14ac:dyDescent="0.25">
      <c r="B13" s="21">
        <v>4</v>
      </c>
      <c r="C13" s="79" t="s">
        <v>144</v>
      </c>
      <c r="D13" s="80"/>
      <c r="E13" s="81"/>
      <c r="F13" s="79" t="s">
        <v>118</v>
      </c>
      <c r="G13" s="77"/>
      <c r="H13" s="77"/>
      <c r="I13" s="77"/>
      <c r="J13" s="78"/>
      <c r="K13" s="12" t="s">
        <v>519</v>
      </c>
      <c r="L13" s="12"/>
    </row>
    <row r="14" spans="2:12" ht="29.25" customHeight="1" x14ac:dyDescent="0.25">
      <c r="B14" s="21">
        <v>5</v>
      </c>
      <c r="C14" s="79" t="s">
        <v>119</v>
      </c>
      <c r="D14" s="80"/>
      <c r="E14" s="81"/>
      <c r="F14" s="79" t="s">
        <v>122</v>
      </c>
      <c r="G14" s="80"/>
      <c r="H14" s="80"/>
      <c r="I14" s="80"/>
      <c r="J14" s="81"/>
      <c r="K14" s="12" t="s">
        <v>519</v>
      </c>
      <c r="L14" s="12"/>
    </row>
    <row r="15" spans="2:12" x14ac:dyDescent="0.25">
      <c r="B15" s="21">
        <v>6</v>
      </c>
      <c r="C15" s="79" t="s">
        <v>120</v>
      </c>
      <c r="D15" s="80"/>
      <c r="E15" s="81"/>
      <c r="F15" s="79" t="s">
        <v>121</v>
      </c>
      <c r="G15" s="80"/>
      <c r="H15" s="80"/>
      <c r="I15" s="80"/>
      <c r="J15" s="81"/>
      <c r="K15" s="12" t="s">
        <v>519</v>
      </c>
      <c r="L15" s="12"/>
    </row>
    <row r="16" spans="2:12" x14ac:dyDescent="0.25">
      <c r="B16" s="21">
        <v>7</v>
      </c>
      <c r="C16" s="79" t="s">
        <v>123</v>
      </c>
      <c r="D16" s="80"/>
      <c r="E16" s="81"/>
      <c r="F16" s="79" t="s">
        <v>124</v>
      </c>
      <c r="G16" s="80"/>
      <c r="H16" s="80"/>
      <c r="I16" s="80"/>
      <c r="J16" s="81"/>
      <c r="K16" s="12" t="s">
        <v>519</v>
      </c>
      <c r="L16" s="12"/>
    </row>
    <row r="17" spans="2:12" x14ac:dyDescent="0.25">
      <c r="B17" s="21">
        <v>8</v>
      </c>
      <c r="C17" s="79" t="s">
        <v>125</v>
      </c>
      <c r="D17" s="80"/>
      <c r="E17" s="81"/>
      <c r="F17" s="79" t="s">
        <v>126</v>
      </c>
      <c r="G17" s="80"/>
      <c r="H17" s="80"/>
      <c r="I17" s="80"/>
      <c r="J17" s="81"/>
      <c r="K17" s="12" t="s">
        <v>519</v>
      </c>
      <c r="L17" s="12"/>
    </row>
    <row r="18" spans="2:12" x14ac:dyDescent="0.25">
      <c r="B18" s="21">
        <v>9</v>
      </c>
      <c r="C18" s="79" t="s">
        <v>127</v>
      </c>
      <c r="D18" s="80"/>
      <c r="E18" s="81"/>
      <c r="F18" s="79" t="s">
        <v>128</v>
      </c>
      <c r="G18" s="80"/>
      <c r="H18" s="80"/>
      <c r="I18" s="80"/>
      <c r="J18" s="81"/>
      <c r="K18" s="12" t="s">
        <v>519</v>
      </c>
      <c r="L18" s="12"/>
    </row>
    <row r="19" spans="2:12" x14ac:dyDescent="0.25">
      <c r="B19" s="21">
        <v>10</v>
      </c>
      <c r="C19" s="79" t="s">
        <v>129</v>
      </c>
      <c r="D19" s="80"/>
      <c r="E19" s="81"/>
      <c r="F19" s="79" t="s">
        <v>130</v>
      </c>
      <c r="G19" s="80"/>
      <c r="H19" s="80"/>
      <c r="I19" s="80"/>
      <c r="J19" s="81"/>
      <c r="K19" s="12" t="s">
        <v>519</v>
      </c>
      <c r="L19" s="12"/>
    </row>
    <row r="20" spans="2:12" x14ac:dyDescent="0.25">
      <c r="B20" s="21">
        <v>11</v>
      </c>
      <c r="C20" s="79" t="s">
        <v>131</v>
      </c>
      <c r="D20" s="80"/>
      <c r="E20" s="81"/>
      <c r="F20" s="79" t="s">
        <v>132</v>
      </c>
      <c r="G20" s="80"/>
      <c r="H20" s="80"/>
      <c r="I20" s="80"/>
      <c r="J20" s="81"/>
      <c r="K20" s="12" t="s">
        <v>519</v>
      </c>
      <c r="L20" s="12"/>
    </row>
    <row r="21" spans="2:12" ht="62.25" customHeight="1" x14ac:dyDescent="0.25">
      <c r="B21" s="21">
        <v>12</v>
      </c>
      <c r="C21" s="79" t="s">
        <v>143</v>
      </c>
      <c r="D21" s="80"/>
      <c r="E21" s="81"/>
      <c r="F21" s="79" t="s">
        <v>159</v>
      </c>
      <c r="G21" s="77"/>
      <c r="H21" s="77"/>
      <c r="I21" s="77"/>
      <c r="J21" s="78"/>
      <c r="K21" s="12" t="s">
        <v>519</v>
      </c>
      <c r="L21" s="12"/>
    </row>
    <row r="22" spans="2:12" x14ac:dyDescent="0.25">
      <c r="B22" s="21">
        <v>13</v>
      </c>
      <c r="C22" s="84" t="s">
        <v>146</v>
      </c>
      <c r="D22" s="80"/>
      <c r="E22" s="81"/>
      <c r="F22" s="84" t="s">
        <v>147</v>
      </c>
      <c r="G22" s="80"/>
      <c r="H22" s="80"/>
      <c r="I22" s="80"/>
      <c r="J22" s="81"/>
      <c r="K22" s="12" t="s">
        <v>519</v>
      </c>
      <c r="L22" s="8"/>
    </row>
    <row r="23" spans="2:12" x14ac:dyDescent="0.25">
      <c r="B23" s="21">
        <v>14</v>
      </c>
      <c r="C23" s="76" t="s">
        <v>527</v>
      </c>
      <c r="D23" s="77"/>
      <c r="E23" s="78"/>
      <c r="F23" s="79" t="s">
        <v>158</v>
      </c>
      <c r="G23" s="77"/>
      <c r="H23" s="77"/>
      <c r="I23" s="77"/>
      <c r="J23" s="78"/>
      <c r="K23" s="12" t="s">
        <v>519</v>
      </c>
      <c r="L23" s="41"/>
    </row>
    <row r="24" spans="2:12" ht="15" customHeight="1" x14ac:dyDescent="0.25">
      <c r="B24" s="21">
        <v>15</v>
      </c>
      <c r="C24" s="79" t="s">
        <v>528</v>
      </c>
      <c r="D24" s="80"/>
      <c r="E24" s="81"/>
      <c r="F24" s="79" t="s">
        <v>118</v>
      </c>
      <c r="G24" s="77"/>
      <c r="H24" s="77"/>
      <c r="I24" s="77"/>
      <c r="J24" s="78"/>
      <c r="K24" s="12" t="s">
        <v>519</v>
      </c>
      <c r="L24" s="8"/>
    </row>
    <row r="25" spans="2:12" ht="56.25" customHeight="1" x14ac:dyDescent="0.25">
      <c r="B25" s="21">
        <v>16</v>
      </c>
      <c r="C25" s="79" t="s">
        <v>152</v>
      </c>
      <c r="D25" s="80"/>
      <c r="E25" s="81"/>
      <c r="F25" s="79" t="s">
        <v>104</v>
      </c>
      <c r="G25" s="77"/>
      <c r="H25" s="77"/>
      <c r="I25" s="77"/>
      <c r="J25" s="78"/>
      <c r="K25" s="12" t="s">
        <v>519</v>
      </c>
      <c r="L25" s="12"/>
    </row>
    <row r="26" spans="2:12" ht="62.25" customHeight="1" x14ac:dyDescent="0.25">
      <c r="B26" s="21">
        <v>17</v>
      </c>
      <c r="C26" s="79" t="s">
        <v>529</v>
      </c>
      <c r="D26" s="80"/>
      <c r="E26" s="81"/>
      <c r="F26" s="79" t="s">
        <v>159</v>
      </c>
      <c r="G26" s="77"/>
      <c r="H26" s="77"/>
      <c r="I26" s="77"/>
      <c r="J26" s="78"/>
      <c r="K26" s="12" t="s">
        <v>519</v>
      </c>
      <c r="L26" s="12"/>
    </row>
    <row r="27" spans="2:12" x14ac:dyDescent="0.25">
      <c r="B27" s="21">
        <v>18</v>
      </c>
      <c r="C27" s="84" t="s">
        <v>146</v>
      </c>
      <c r="D27" s="80"/>
      <c r="E27" s="81"/>
      <c r="F27" s="84" t="s">
        <v>147</v>
      </c>
      <c r="G27" s="80"/>
      <c r="H27" s="80"/>
      <c r="I27" s="80"/>
      <c r="J27" s="81"/>
      <c r="K27" s="12" t="s">
        <v>519</v>
      </c>
      <c r="L27" s="41"/>
    </row>
    <row r="30" spans="2:12" x14ac:dyDescent="0.25">
      <c r="C30" s="7" t="s">
        <v>15</v>
      </c>
      <c r="D30" s="82" t="s">
        <v>477</v>
      </c>
      <c r="E30" s="82"/>
      <c r="F30" s="82"/>
      <c r="G30" s="82"/>
      <c r="H30" s="82"/>
      <c r="I30" s="82"/>
      <c r="J30" s="82"/>
      <c r="K30" s="82"/>
    </row>
  </sheetData>
  <mergeCells count="42">
    <mergeCell ref="C11:E11"/>
    <mergeCell ref="F11:J11"/>
    <mergeCell ref="C13:E13"/>
    <mergeCell ref="F13:J13"/>
    <mergeCell ref="D5:K5"/>
    <mergeCell ref="D7:K7"/>
    <mergeCell ref="C9:E9"/>
    <mergeCell ref="F9:J9"/>
    <mergeCell ref="C10:E10"/>
    <mergeCell ref="F10:J10"/>
    <mergeCell ref="E6:K6"/>
    <mergeCell ref="F14:J14"/>
    <mergeCell ref="C15:E15"/>
    <mergeCell ref="F15:J15"/>
    <mergeCell ref="C16:E16"/>
    <mergeCell ref="F16:J16"/>
    <mergeCell ref="D30:K30"/>
    <mergeCell ref="C12:E12"/>
    <mergeCell ref="F12:J12"/>
    <mergeCell ref="C20:E20"/>
    <mergeCell ref="F20:J20"/>
    <mergeCell ref="C21:E21"/>
    <mergeCell ref="F21:J21"/>
    <mergeCell ref="C22:E22"/>
    <mergeCell ref="F22:J22"/>
    <mergeCell ref="C17:E17"/>
    <mergeCell ref="F17:J17"/>
    <mergeCell ref="C18:E18"/>
    <mergeCell ref="F18:J18"/>
    <mergeCell ref="C19:E19"/>
    <mergeCell ref="F19:J19"/>
    <mergeCell ref="C14:E14"/>
    <mergeCell ref="C27:E27"/>
    <mergeCell ref="F27:J27"/>
    <mergeCell ref="C23:E23"/>
    <mergeCell ref="F23:J23"/>
    <mergeCell ref="C25:E25"/>
    <mergeCell ref="F25:J25"/>
    <mergeCell ref="C26:E26"/>
    <mergeCell ref="F26:J26"/>
    <mergeCell ref="C24:E24"/>
    <mergeCell ref="F24:J24"/>
  </mergeCells>
  <dataValidations count="1">
    <dataValidation type="list" allowBlank="1" showInputMessage="1" showErrorMessage="1" promptTitle="Choose Result" sqref="D6 K10:K27">
      <formula1>TestResult</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18"/>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48</v>
      </c>
      <c r="E4" s="2" t="s">
        <v>50</v>
      </c>
      <c r="F4" s="2" t="s">
        <v>16</v>
      </c>
      <c r="G4" s="2" t="s">
        <v>61</v>
      </c>
      <c r="H4" s="2" t="s">
        <v>62</v>
      </c>
      <c r="I4" s="2"/>
      <c r="J4" s="2" t="s">
        <v>62</v>
      </c>
      <c r="K4" s="40">
        <v>42154</v>
      </c>
    </row>
    <row r="5" spans="2:12" x14ac:dyDescent="0.25">
      <c r="C5" s="4" t="s">
        <v>517</v>
      </c>
      <c r="D5" s="85" t="s">
        <v>530</v>
      </c>
      <c r="E5" s="85"/>
      <c r="F5" s="85"/>
      <c r="G5" s="85"/>
      <c r="H5" s="85"/>
      <c r="I5" s="85"/>
      <c r="J5" s="85"/>
      <c r="K5" s="85"/>
    </row>
    <row r="6" spans="2:12" s="6" customFormat="1" x14ac:dyDescent="0.25">
      <c r="C6" s="7" t="s">
        <v>467</v>
      </c>
      <c r="D6" s="12" t="s">
        <v>519</v>
      </c>
      <c r="E6" s="76" t="s">
        <v>609</v>
      </c>
      <c r="F6" s="77"/>
      <c r="G6" s="77"/>
      <c r="H6" s="77"/>
      <c r="I6" s="77"/>
      <c r="J6" s="77"/>
      <c r="K6" s="78"/>
    </row>
    <row r="7" spans="2:12" x14ac:dyDescent="0.25">
      <c r="C7" s="4" t="s">
        <v>9</v>
      </c>
      <c r="D7" s="82" t="s">
        <v>192</v>
      </c>
      <c r="E7" s="82"/>
      <c r="F7" s="82"/>
      <c r="G7" s="82"/>
      <c r="H7" s="82"/>
      <c r="I7" s="82"/>
      <c r="J7" s="82"/>
      <c r="K7" s="82"/>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ht="26.25" customHeight="1" x14ac:dyDescent="0.25">
      <c r="B10" s="21">
        <v>1</v>
      </c>
      <c r="C10" s="79" t="s">
        <v>114</v>
      </c>
      <c r="D10" s="80"/>
      <c r="E10" s="81"/>
      <c r="F10" s="79" t="s">
        <v>141</v>
      </c>
      <c r="G10" s="77"/>
      <c r="H10" s="77"/>
      <c r="I10" s="77"/>
      <c r="J10" s="78"/>
      <c r="K10" s="12" t="s">
        <v>519</v>
      </c>
      <c r="L10" s="12"/>
    </row>
    <row r="11" spans="2:12" ht="29.25" customHeight="1" x14ac:dyDescent="0.25">
      <c r="B11" s="21">
        <v>2</v>
      </c>
      <c r="C11" s="79" t="s">
        <v>474</v>
      </c>
      <c r="D11" s="80"/>
      <c r="E11" s="81"/>
      <c r="F11" s="79" t="s">
        <v>104</v>
      </c>
      <c r="G11" s="80"/>
      <c r="H11" s="80"/>
      <c r="I11" s="80"/>
      <c r="J11" s="81"/>
      <c r="K11" s="12" t="s">
        <v>519</v>
      </c>
      <c r="L11" s="12"/>
    </row>
    <row r="12" spans="2:12" ht="15" customHeight="1" x14ac:dyDescent="0.25">
      <c r="B12" s="21">
        <v>3</v>
      </c>
      <c r="C12" s="79" t="s">
        <v>161</v>
      </c>
      <c r="D12" s="80"/>
      <c r="E12" s="81"/>
      <c r="F12" s="79" t="s">
        <v>104</v>
      </c>
      <c r="G12" s="80"/>
      <c r="H12" s="80"/>
      <c r="I12" s="80"/>
      <c r="J12" s="81"/>
      <c r="K12" s="12" t="s">
        <v>519</v>
      </c>
      <c r="L12" s="12"/>
    </row>
    <row r="13" spans="2:12" ht="44.25" customHeight="1" x14ac:dyDescent="0.25">
      <c r="B13" s="21">
        <v>4</v>
      </c>
      <c r="C13" s="79" t="s">
        <v>162</v>
      </c>
      <c r="D13" s="80"/>
      <c r="E13" s="81"/>
      <c r="F13" s="79" t="s">
        <v>163</v>
      </c>
      <c r="G13" s="80"/>
      <c r="H13" s="80"/>
      <c r="I13" s="80"/>
      <c r="J13" s="81"/>
      <c r="K13" s="12" t="s">
        <v>519</v>
      </c>
      <c r="L13" s="12"/>
    </row>
    <row r="14" spans="2:12" ht="69" customHeight="1" x14ac:dyDescent="0.25">
      <c r="B14" s="21">
        <v>5</v>
      </c>
      <c r="C14" s="79" t="s">
        <v>164</v>
      </c>
      <c r="D14" s="80"/>
      <c r="E14" s="81"/>
      <c r="F14" s="79" t="s">
        <v>165</v>
      </c>
      <c r="G14" s="77"/>
      <c r="H14" s="77"/>
      <c r="I14" s="77"/>
      <c r="J14" s="78"/>
      <c r="K14" s="12" t="s">
        <v>519</v>
      </c>
      <c r="L14" s="8"/>
    </row>
    <row r="15" spans="2:12" x14ac:dyDescent="0.25">
      <c r="B15" s="21"/>
      <c r="C15" s="84"/>
      <c r="D15" s="80"/>
      <c r="E15" s="81"/>
      <c r="F15" s="84"/>
      <c r="G15" s="80"/>
      <c r="H15" s="80"/>
      <c r="I15" s="80"/>
      <c r="J15" s="81"/>
      <c r="K15" s="12"/>
      <c r="L15" s="8"/>
    </row>
    <row r="18" spans="3:11" x14ac:dyDescent="0.25">
      <c r="C18" s="7" t="s">
        <v>15</v>
      </c>
      <c r="D18" s="82" t="s">
        <v>166</v>
      </c>
      <c r="E18" s="82"/>
      <c r="F18" s="82"/>
      <c r="G18" s="82"/>
      <c r="H18" s="82"/>
      <c r="I18" s="82"/>
      <c r="J18" s="82"/>
      <c r="K18" s="82"/>
    </row>
  </sheetData>
  <mergeCells count="18">
    <mergeCell ref="D5:K5"/>
    <mergeCell ref="D7:K7"/>
    <mergeCell ref="C9:E9"/>
    <mergeCell ref="F9:J9"/>
    <mergeCell ref="C10:E10"/>
    <mergeCell ref="F10:J10"/>
    <mergeCell ref="E6:K6"/>
    <mergeCell ref="C11:E11"/>
    <mergeCell ref="F11:J11"/>
    <mergeCell ref="C14:E14"/>
    <mergeCell ref="F14:J14"/>
    <mergeCell ref="C15:E15"/>
    <mergeCell ref="F15:J15"/>
    <mergeCell ref="D18:K18"/>
    <mergeCell ref="C12:E12"/>
    <mergeCell ref="F12:J12"/>
    <mergeCell ref="C13:E13"/>
    <mergeCell ref="F13:J13"/>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51</v>
      </c>
      <c r="E4" s="2" t="s">
        <v>167</v>
      </c>
      <c r="F4" s="2" t="s">
        <v>16</v>
      </c>
      <c r="G4" s="2" t="s">
        <v>61</v>
      </c>
      <c r="H4" s="2" t="s">
        <v>62</v>
      </c>
      <c r="I4" s="2"/>
      <c r="J4" s="2" t="s">
        <v>62</v>
      </c>
      <c r="K4" s="40">
        <v>42154</v>
      </c>
    </row>
    <row r="5" spans="2:12" x14ac:dyDescent="0.25">
      <c r="C5" s="4" t="s">
        <v>517</v>
      </c>
      <c r="D5" s="85" t="s">
        <v>531</v>
      </c>
      <c r="E5" s="85"/>
      <c r="F5" s="85"/>
      <c r="G5" s="85"/>
      <c r="H5" s="85"/>
      <c r="I5" s="85"/>
      <c r="J5" s="85"/>
      <c r="K5" s="85"/>
    </row>
    <row r="6" spans="2:12" s="6" customFormat="1" x14ac:dyDescent="0.25">
      <c r="C6" s="7" t="s">
        <v>467</v>
      </c>
      <c r="D6" s="12" t="s">
        <v>519</v>
      </c>
      <c r="E6" s="76" t="s">
        <v>609</v>
      </c>
      <c r="F6" s="77"/>
      <c r="G6" s="77"/>
      <c r="H6" s="77"/>
      <c r="I6" s="77"/>
      <c r="J6" s="77"/>
      <c r="K6" s="78"/>
    </row>
    <row r="7" spans="2:12" x14ac:dyDescent="0.25">
      <c r="C7" s="4" t="s">
        <v>9</v>
      </c>
      <c r="D7" s="82" t="s">
        <v>192</v>
      </c>
      <c r="E7" s="82"/>
      <c r="F7" s="82"/>
      <c r="G7" s="82"/>
      <c r="H7" s="82"/>
      <c r="I7" s="82"/>
      <c r="J7" s="82"/>
      <c r="K7" s="82"/>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ht="31.5" customHeight="1" x14ac:dyDescent="0.25">
      <c r="B10" s="21">
        <v>1</v>
      </c>
      <c r="C10" s="79" t="s">
        <v>114</v>
      </c>
      <c r="D10" s="80"/>
      <c r="E10" s="81"/>
      <c r="F10" s="79" t="s">
        <v>141</v>
      </c>
      <c r="G10" s="77"/>
      <c r="H10" s="77"/>
      <c r="I10" s="77"/>
      <c r="J10" s="78"/>
      <c r="K10" s="12" t="s">
        <v>519</v>
      </c>
      <c r="L10" s="12"/>
    </row>
    <row r="11" spans="2:12" ht="56.25" customHeight="1" x14ac:dyDescent="0.25">
      <c r="B11" s="21">
        <v>2</v>
      </c>
      <c r="C11" s="79" t="s">
        <v>157</v>
      </c>
      <c r="D11" s="80"/>
      <c r="E11" s="81"/>
      <c r="F11" s="79" t="s">
        <v>158</v>
      </c>
      <c r="G11" s="77"/>
      <c r="H11" s="77"/>
      <c r="I11" s="77"/>
      <c r="J11" s="78"/>
      <c r="K11" s="12" t="s">
        <v>519</v>
      </c>
      <c r="L11" s="12"/>
    </row>
    <row r="12" spans="2:12" ht="56.25" customHeight="1" x14ac:dyDescent="0.25">
      <c r="B12" s="21">
        <v>3</v>
      </c>
      <c r="C12" s="79" t="s">
        <v>152</v>
      </c>
      <c r="D12" s="80"/>
      <c r="E12" s="81"/>
      <c r="F12" s="79" t="s">
        <v>104</v>
      </c>
      <c r="G12" s="77"/>
      <c r="H12" s="77"/>
      <c r="I12" s="77"/>
      <c r="J12" s="78"/>
      <c r="K12" s="12" t="s">
        <v>519</v>
      </c>
      <c r="L12" s="12"/>
    </row>
    <row r="13" spans="2:12" ht="36.75" customHeight="1" x14ac:dyDescent="0.25">
      <c r="B13" s="21">
        <v>4</v>
      </c>
      <c r="C13" s="79" t="s">
        <v>586</v>
      </c>
      <c r="D13" s="80"/>
      <c r="E13" s="81"/>
      <c r="F13" s="79" t="s">
        <v>118</v>
      </c>
      <c r="G13" s="77"/>
      <c r="H13" s="77"/>
      <c r="I13" s="77"/>
      <c r="J13" s="78"/>
      <c r="K13" s="12" t="s">
        <v>519</v>
      </c>
      <c r="L13" s="12"/>
    </row>
    <row r="14" spans="2:12" ht="29.25" customHeight="1" x14ac:dyDescent="0.25">
      <c r="B14" s="21">
        <v>5</v>
      </c>
      <c r="C14" s="79" t="s">
        <v>119</v>
      </c>
      <c r="D14" s="80"/>
      <c r="E14" s="81"/>
      <c r="F14" s="79" t="s">
        <v>122</v>
      </c>
      <c r="G14" s="80"/>
      <c r="H14" s="80"/>
      <c r="I14" s="80"/>
      <c r="J14" s="81"/>
      <c r="K14" s="12" t="s">
        <v>519</v>
      </c>
      <c r="L14" s="12"/>
    </row>
    <row r="15" spans="2:12" x14ac:dyDescent="0.25">
      <c r="B15" s="21">
        <v>6</v>
      </c>
      <c r="C15" s="79" t="s">
        <v>120</v>
      </c>
      <c r="D15" s="80"/>
      <c r="E15" s="81"/>
      <c r="F15" s="79" t="s">
        <v>121</v>
      </c>
      <c r="G15" s="80"/>
      <c r="H15" s="80"/>
      <c r="I15" s="80"/>
      <c r="J15" s="81"/>
      <c r="K15" s="12" t="s">
        <v>519</v>
      </c>
      <c r="L15" s="12"/>
    </row>
    <row r="16" spans="2:12" x14ac:dyDescent="0.25">
      <c r="B16" s="21">
        <v>7</v>
      </c>
      <c r="C16" s="79" t="s">
        <v>123</v>
      </c>
      <c r="D16" s="80"/>
      <c r="E16" s="81"/>
      <c r="F16" s="79" t="s">
        <v>124</v>
      </c>
      <c r="G16" s="80"/>
      <c r="H16" s="80"/>
      <c r="I16" s="80"/>
      <c r="J16" s="81"/>
      <c r="K16" s="12" t="s">
        <v>519</v>
      </c>
      <c r="L16" s="12"/>
    </row>
    <row r="17" spans="2:12" x14ac:dyDescent="0.25">
      <c r="B17" s="21">
        <v>8</v>
      </c>
      <c r="C17" s="79" t="s">
        <v>125</v>
      </c>
      <c r="D17" s="80"/>
      <c r="E17" s="81"/>
      <c r="F17" s="79" t="s">
        <v>126</v>
      </c>
      <c r="G17" s="80"/>
      <c r="H17" s="80"/>
      <c r="I17" s="80"/>
      <c r="J17" s="81"/>
      <c r="K17" s="12" t="s">
        <v>519</v>
      </c>
      <c r="L17" s="12"/>
    </row>
    <row r="18" spans="2:12" x14ac:dyDescent="0.25">
      <c r="B18" s="21">
        <v>9</v>
      </c>
      <c r="C18" s="79" t="s">
        <v>127</v>
      </c>
      <c r="D18" s="80"/>
      <c r="E18" s="81"/>
      <c r="F18" s="79" t="s">
        <v>128</v>
      </c>
      <c r="G18" s="80"/>
      <c r="H18" s="80"/>
      <c r="I18" s="80"/>
      <c r="J18" s="81"/>
      <c r="K18" s="12" t="s">
        <v>519</v>
      </c>
      <c r="L18" s="12"/>
    </row>
    <row r="19" spans="2:12" x14ac:dyDescent="0.25">
      <c r="B19" s="21">
        <v>10</v>
      </c>
      <c r="C19" s="79" t="s">
        <v>129</v>
      </c>
      <c r="D19" s="80"/>
      <c r="E19" s="81"/>
      <c r="F19" s="79" t="s">
        <v>130</v>
      </c>
      <c r="G19" s="80"/>
      <c r="H19" s="80"/>
      <c r="I19" s="80"/>
      <c r="J19" s="81"/>
      <c r="K19" s="12" t="s">
        <v>519</v>
      </c>
      <c r="L19" s="12"/>
    </row>
    <row r="20" spans="2:12" x14ac:dyDescent="0.25">
      <c r="B20" s="21">
        <v>11</v>
      </c>
      <c r="C20" s="79" t="s">
        <v>131</v>
      </c>
      <c r="D20" s="80"/>
      <c r="E20" s="81"/>
      <c r="F20" s="79" t="s">
        <v>132</v>
      </c>
      <c r="G20" s="80"/>
      <c r="H20" s="80"/>
      <c r="I20" s="80"/>
      <c r="J20" s="81"/>
      <c r="K20" s="12" t="s">
        <v>519</v>
      </c>
      <c r="L20" s="12"/>
    </row>
    <row r="21" spans="2:12" ht="31.5" customHeight="1" x14ac:dyDescent="0.25">
      <c r="B21" s="21">
        <v>13</v>
      </c>
      <c r="C21" s="79" t="s">
        <v>161</v>
      </c>
      <c r="D21" s="80"/>
      <c r="E21" s="81"/>
      <c r="F21" s="79" t="s">
        <v>104</v>
      </c>
      <c r="G21" s="80"/>
      <c r="H21" s="80"/>
      <c r="I21" s="80"/>
      <c r="J21" s="81"/>
      <c r="K21" s="12" t="s">
        <v>519</v>
      </c>
      <c r="L21" s="12"/>
    </row>
    <row r="22" spans="2:12" ht="37.5" customHeight="1" x14ac:dyDescent="0.25">
      <c r="B22" s="21">
        <v>14</v>
      </c>
      <c r="C22" s="79" t="s">
        <v>162</v>
      </c>
      <c r="D22" s="80"/>
      <c r="E22" s="81"/>
      <c r="F22" s="79" t="s">
        <v>163</v>
      </c>
      <c r="G22" s="80"/>
      <c r="H22" s="80"/>
      <c r="I22" s="80"/>
      <c r="J22" s="81"/>
      <c r="K22" s="12" t="s">
        <v>519</v>
      </c>
      <c r="L22" s="9"/>
    </row>
    <row r="23" spans="2:12" ht="37.5" customHeight="1" x14ac:dyDescent="0.25">
      <c r="B23" s="21">
        <v>15</v>
      </c>
      <c r="C23" s="79" t="s">
        <v>478</v>
      </c>
      <c r="D23" s="80"/>
      <c r="E23" s="81"/>
      <c r="F23" s="79" t="s">
        <v>118</v>
      </c>
      <c r="G23" s="80"/>
      <c r="H23" s="80"/>
      <c r="I23" s="80"/>
      <c r="J23" s="81"/>
      <c r="K23" s="12" t="s">
        <v>519</v>
      </c>
      <c r="L23" s="38"/>
    </row>
    <row r="24" spans="2:12" ht="47.25" customHeight="1" x14ac:dyDescent="0.25">
      <c r="B24" s="21">
        <v>16</v>
      </c>
      <c r="C24" s="79" t="s">
        <v>164</v>
      </c>
      <c r="D24" s="80"/>
      <c r="E24" s="81"/>
      <c r="F24" s="79" t="s">
        <v>165</v>
      </c>
      <c r="G24" s="77"/>
      <c r="H24" s="77"/>
      <c r="I24" s="77"/>
      <c r="J24" s="78"/>
      <c r="K24" s="12" t="s">
        <v>519</v>
      </c>
      <c r="L24" s="9"/>
    </row>
    <row r="25" spans="2:12" ht="15" customHeight="1" x14ac:dyDescent="0.25">
      <c r="B25" s="21">
        <v>17</v>
      </c>
      <c r="C25" s="84" t="s">
        <v>146</v>
      </c>
      <c r="D25" s="80"/>
      <c r="E25" s="81"/>
      <c r="F25" s="84" t="s">
        <v>147</v>
      </c>
      <c r="G25" s="80"/>
      <c r="H25" s="80"/>
      <c r="I25" s="80"/>
      <c r="J25" s="81"/>
      <c r="K25" s="12" t="s">
        <v>519</v>
      </c>
      <c r="L25" s="9"/>
    </row>
    <row r="27" spans="2:12" x14ac:dyDescent="0.25">
      <c r="C27" s="7" t="s">
        <v>15</v>
      </c>
      <c r="D27" s="82"/>
      <c r="E27" s="82"/>
      <c r="F27" s="82"/>
      <c r="G27" s="82"/>
      <c r="H27" s="82"/>
      <c r="I27" s="82"/>
      <c r="J27" s="82"/>
      <c r="K27" s="82"/>
    </row>
  </sheetData>
  <mergeCells count="38">
    <mergeCell ref="C23:E23"/>
    <mergeCell ref="F23:J23"/>
    <mergeCell ref="C24:E24"/>
    <mergeCell ref="F24:J24"/>
    <mergeCell ref="D27:K27"/>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5">
      <formula1>TestResult</formula1>
    </dataValidation>
  </dataValidations>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9" t="s">
        <v>16</v>
      </c>
      <c r="D4" s="9" t="s">
        <v>52</v>
      </c>
      <c r="E4" s="9" t="s">
        <v>168</v>
      </c>
      <c r="F4" s="9" t="s">
        <v>16</v>
      </c>
      <c r="G4" s="9" t="s">
        <v>61</v>
      </c>
      <c r="H4" s="9" t="s">
        <v>62</v>
      </c>
      <c r="I4" s="9"/>
      <c r="J4" s="9" t="s">
        <v>62</v>
      </c>
      <c r="K4" s="40">
        <v>42154</v>
      </c>
    </row>
    <row r="5" spans="2:12" x14ac:dyDescent="0.25">
      <c r="C5" s="7" t="s">
        <v>517</v>
      </c>
      <c r="D5" s="82" t="s">
        <v>532</v>
      </c>
      <c r="E5" s="82"/>
      <c r="F5" s="82"/>
      <c r="G5" s="82"/>
      <c r="H5" s="82"/>
      <c r="I5" s="82"/>
      <c r="J5" s="82"/>
      <c r="K5" s="82"/>
    </row>
    <row r="6" spans="2:12" x14ac:dyDescent="0.25">
      <c r="C6" s="7" t="s">
        <v>467</v>
      </c>
      <c r="D6" s="12" t="s">
        <v>519</v>
      </c>
      <c r="E6" s="76" t="s">
        <v>609</v>
      </c>
      <c r="F6" s="77"/>
      <c r="G6" s="77"/>
      <c r="H6" s="77"/>
      <c r="I6" s="77"/>
      <c r="J6" s="77"/>
      <c r="K6" s="78"/>
    </row>
    <row r="7" spans="2:12" x14ac:dyDescent="0.25">
      <c r="C7" s="7" t="s">
        <v>9</v>
      </c>
      <c r="D7" s="82" t="s">
        <v>169</v>
      </c>
      <c r="E7" s="82"/>
      <c r="F7" s="82"/>
      <c r="G7" s="82"/>
      <c r="H7" s="82"/>
      <c r="I7" s="82"/>
      <c r="J7" s="82"/>
      <c r="K7" s="82"/>
    </row>
    <row r="9" spans="2:12" x14ac:dyDescent="0.25">
      <c r="B9" s="11" t="s">
        <v>10</v>
      </c>
      <c r="C9" s="83" t="s">
        <v>11</v>
      </c>
      <c r="D9" s="83"/>
      <c r="E9" s="83"/>
      <c r="F9" s="83" t="s">
        <v>12</v>
      </c>
      <c r="G9" s="83"/>
      <c r="H9" s="83"/>
      <c r="I9" s="83"/>
      <c r="J9" s="83"/>
      <c r="K9" s="11" t="s">
        <v>13</v>
      </c>
      <c r="L9" s="11" t="s">
        <v>14</v>
      </c>
    </row>
    <row r="10" spans="2:12" ht="30" customHeight="1" x14ac:dyDescent="0.25">
      <c r="B10" s="21">
        <v>1</v>
      </c>
      <c r="C10" s="79" t="s">
        <v>114</v>
      </c>
      <c r="D10" s="80"/>
      <c r="E10" s="81"/>
      <c r="F10" s="79" t="s">
        <v>141</v>
      </c>
      <c r="G10" s="77"/>
      <c r="H10" s="77"/>
      <c r="I10" s="77"/>
      <c r="J10" s="78"/>
      <c r="K10" s="12" t="s">
        <v>519</v>
      </c>
      <c r="L10" s="12"/>
    </row>
    <row r="11" spans="2:12" ht="49.5" customHeight="1" x14ac:dyDescent="0.25">
      <c r="B11" s="21">
        <v>2</v>
      </c>
      <c r="C11" s="79" t="s">
        <v>588</v>
      </c>
      <c r="D11" s="80"/>
      <c r="E11" s="81"/>
      <c r="F11" s="79" t="s">
        <v>587</v>
      </c>
      <c r="G11" s="77"/>
      <c r="H11" s="77"/>
      <c r="I11" s="77"/>
      <c r="J11" s="78"/>
      <c r="K11" s="12" t="s">
        <v>519</v>
      </c>
      <c r="L11" s="12"/>
    </row>
    <row r="12" spans="2:12" ht="34.5" customHeight="1" x14ac:dyDescent="0.25">
      <c r="B12" s="21">
        <v>3</v>
      </c>
      <c r="C12" s="79" t="s">
        <v>170</v>
      </c>
      <c r="D12" s="80"/>
      <c r="E12" s="81"/>
      <c r="F12" s="79" t="s">
        <v>171</v>
      </c>
      <c r="G12" s="77"/>
      <c r="H12" s="77"/>
      <c r="I12" s="77"/>
      <c r="J12" s="78"/>
      <c r="K12" s="12" t="s">
        <v>519</v>
      </c>
      <c r="L12" s="12"/>
    </row>
    <row r="13" spans="2:12" ht="36.75" customHeight="1" x14ac:dyDescent="0.25">
      <c r="B13" s="21">
        <v>4</v>
      </c>
      <c r="C13" s="79" t="s">
        <v>172</v>
      </c>
      <c r="D13" s="80"/>
      <c r="E13" s="81"/>
      <c r="F13" s="79" t="s">
        <v>173</v>
      </c>
      <c r="G13" s="80"/>
      <c r="H13" s="80"/>
      <c r="I13" s="80"/>
      <c r="J13" s="81"/>
      <c r="K13" s="12" t="s">
        <v>519</v>
      </c>
      <c r="L13" s="12"/>
    </row>
    <row r="14" spans="2:12" ht="36" customHeight="1" x14ac:dyDescent="0.25">
      <c r="B14" s="21">
        <v>5</v>
      </c>
      <c r="C14" s="79" t="s">
        <v>486</v>
      </c>
      <c r="D14" s="80"/>
      <c r="E14" s="81"/>
      <c r="F14" s="79" t="s">
        <v>174</v>
      </c>
      <c r="G14" s="80"/>
      <c r="H14" s="80"/>
      <c r="I14" s="80"/>
      <c r="J14" s="81"/>
      <c r="K14" s="12" t="s">
        <v>519</v>
      </c>
      <c r="L14" s="12"/>
    </row>
    <row r="15" spans="2:12" ht="29.25" customHeight="1" x14ac:dyDescent="0.25">
      <c r="B15" s="21">
        <v>6</v>
      </c>
      <c r="C15" s="79" t="s">
        <v>172</v>
      </c>
      <c r="D15" s="80"/>
      <c r="E15" s="81"/>
      <c r="F15" s="79" t="s">
        <v>173</v>
      </c>
      <c r="G15" s="80"/>
      <c r="H15" s="80"/>
      <c r="I15" s="80"/>
      <c r="J15" s="81"/>
      <c r="K15" s="12" t="s">
        <v>519</v>
      </c>
      <c r="L15" s="12"/>
    </row>
    <row r="16" spans="2:12" ht="45.75" customHeight="1" x14ac:dyDescent="0.25">
      <c r="B16" s="21"/>
      <c r="C16" s="79"/>
      <c r="D16" s="80"/>
      <c r="E16" s="81"/>
      <c r="F16" s="79"/>
      <c r="G16" s="80"/>
      <c r="H16" s="80"/>
      <c r="I16" s="80"/>
      <c r="J16" s="81"/>
      <c r="K16" s="12"/>
      <c r="L16" s="12"/>
    </row>
    <row r="17" spans="2:15" ht="27"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9"/>
      <c r="L21" s="9"/>
    </row>
    <row r="22" spans="2:15" x14ac:dyDescent="0.25">
      <c r="B22" s="22"/>
      <c r="C22" s="76"/>
      <c r="D22" s="77"/>
      <c r="E22" s="78"/>
      <c r="F22" s="84"/>
      <c r="G22" s="80"/>
      <c r="H22" s="80"/>
      <c r="I22" s="80"/>
      <c r="J22" s="81"/>
      <c r="K22" s="9"/>
      <c r="L22" s="9"/>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topLeftCell="A10"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9" t="s">
        <v>16</v>
      </c>
      <c r="D4" s="9" t="s">
        <v>53</v>
      </c>
      <c r="E4" s="9" t="s">
        <v>175</v>
      </c>
      <c r="F4" s="9" t="s">
        <v>16</v>
      </c>
      <c r="G4" s="9" t="s">
        <v>61</v>
      </c>
      <c r="H4" s="9" t="s">
        <v>62</v>
      </c>
      <c r="I4" s="9"/>
      <c r="J4" s="9" t="s">
        <v>62</v>
      </c>
      <c r="K4" s="40">
        <v>42154</v>
      </c>
    </row>
    <row r="5" spans="2:12" x14ac:dyDescent="0.25">
      <c r="C5" s="7" t="s">
        <v>517</v>
      </c>
      <c r="D5" s="82" t="s">
        <v>494</v>
      </c>
      <c r="E5" s="82"/>
      <c r="F5" s="82"/>
      <c r="G5" s="82"/>
      <c r="H5" s="82"/>
      <c r="I5" s="82"/>
      <c r="J5" s="82"/>
      <c r="K5" s="82"/>
    </row>
    <row r="6" spans="2:12" ht="15" customHeight="1" x14ac:dyDescent="0.25">
      <c r="C6" s="7" t="s">
        <v>467</v>
      </c>
      <c r="D6" s="12" t="s">
        <v>519</v>
      </c>
      <c r="E6" s="76" t="s">
        <v>589</v>
      </c>
      <c r="F6" s="77"/>
      <c r="G6" s="77"/>
      <c r="H6" s="77"/>
      <c r="I6" s="77"/>
      <c r="J6" s="77"/>
      <c r="K6" s="78"/>
    </row>
    <row r="7" spans="2:12" x14ac:dyDescent="0.25">
      <c r="C7" s="7" t="s">
        <v>9</v>
      </c>
      <c r="D7" s="82" t="s">
        <v>169</v>
      </c>
      <c r="E7" s="82"/>
      <c r="F7" s="82"/>
      <c r="G7" s="82"/>
      <c r="H7" s="82"/>
      <c r="I7" s="82"/>
      <c r="J7" s="82"/>
      <c r="K7" s="82"/>
    </row>
    <row r="9" spans="2:12" x14ac:dyDescent="0.25">
      <c r="B9" s="11" t="s">
        <v>10</v>
      </c>
      <c r="C9" s="83" t="s">
        <v>11</v>
      </c>
      <c r="D9" s="83"/>
      <c r="E9" s="83"/>
      <c r="F9" s="83" t="s">
        <v>12</v>
      </c>
      <c r="G9" s="83"/>
      <c r="H9" s="83"/>
      <c r="I9" s="83"/>
      <c r="J9" s="83"/>
      <c r="K9" s="11" t="s">
        <v>13</v>
      </c>
      <c r="L9" s="11" t="s">
        <v>14</v>
      </c>
    </row>
    <row r="10" spans="2:12" customFormat="1" ht="64.5" customHeight="1" x14ac:dyDescent="0.25">
      <c r="B10" s="21">
        <v>1</v>
      </c>
      <c r="C10" s="79" t="s">
        <v>509</v>
      </c>
      <c r="D10" s="80"/>
      <c r="E10" s="81"/>
      <c r="F10" s="79" t="s">
        <v>104</v>
      </c>
      <c r="G10" s="77"/>
      <c r="H10" s="77"/>
      <c r="I10" s="77"/>
      <c r="J10" s="78"/>
      <c r="K10" s="12" t="s">
        <v>519</v>
      </c>
      <c r="L10" s="12"/>
    </row>
    <row r="11" spans="2:12" customFormat="1" ht="87" customHeight="1" x14ac:dyDescent="0.25">
      <c r="B11" s="21">
        <v>2</v>
      </c>
      <c r="C11" s="79" t="s">
        <v>513</v>
      </c>
      <c r="D11" s="80"/>
      <c r="E11" s="81"/>
      <c r="F11" s="79" t="s">
        <v>104</v>
      </c>
      <c r="G11" s="77"/>
      <c r="H11" s="77"/>
      <c r="I11" s="77"/>
      <c r="J11" s="78"/>
      <c r="K11" s="12" t="s">
        <v>519</v>
      </c>
      <c r="L11" s="12"/>
    </row>
    <row r="12" spans="2:12" customFormat="1" ht="87" customHeight="1" x14ac:dyDescent="0.25">
      <c r="B12" s="21">
        <v>3</v>
      </c>
      <c r="C12" s="79" t="s">
        <v>511</v>
      </c>
      <c r="D12" s="80"/>
      <c r="E12" s="81"/>
      <c r="F12" s="79" t="s">
        <v>104</v>
      </c>
      <c r="G12" s="77"/>
      <c r="H12" s="77"/>
      <c r="I12" s="77"/>
      <c r="J12" s="78"/>
      <c r="K12" s="12" t="s">
        <v>519</v>
      </c>
      <c r="L12" s="12" t="s">
        <v>512</v>
      </c>
    </row>
    <row r="13" spans="2:12" ht="30" customHeight="1" x14ac:dyDescent="0.25">
      <c r="B13" s="21">
        <v>4</v>
      </c>
      <c r="C13" s="79" t="s">
        <v>114</v>
      </c>
      <c r="D13" s="80"/>
      <c r="E13" s="81"/>
      <c r="F13" s="79" t="s">
        <v>510</v>
      </c>
      <c r="G13" s="77"/>
      <c r="H13" s="77"/>
      <c r="I13" s="77"/>
      <c r="J13" s="78"/>
      <c r="K13" s="12" t="s">
        <v>519</v>
      </c>
      <c r="L13" s="12"/>
    </row>
    <row r="14" spans="2:12" ht="49.5" customHeight="1" x14ac:dyDescent="0.25">
      <c r="B14" s="21">
        <v>5</v>
      </c>
      <c r="C14" s="79" t="s">
        <v>176</v>
      </c>
      <c r="D14" s="80"/>
      <c r="E14" s="81"/>
      <c r="F14" s="79" t="s">
        <v>104</v>
      </c>
      <c r="G14" s="77"/>
      <c r="H14" s="77"/>
      <c r="I14" s="77"/>
      <c r="J14" s="78"/>
      <c r="K14" s="12" t="s">
        <v>519</v>
      </c>
      <c r="L14" s="12"/>
    </row>
    <row r="15" spans="2:12" ht="34.5" customHeight="1" x14ac:dyDescent="0.25">
      <c r="B15" s="21">
        <v>6</v>
      </c>
      <c r="C15" s="79" t="s">
        <v>177</v>
      </c>
      <c r="D15" s="80"/>
      <c r="E15" s="81"/>
      <c r="F15" s="79" t="s">
        <v>141</v>
      </c>
      <c r="G15" s="77"/>
      <c r="H15" s="77"/>
      <c r="I15" s="77"/>
      <c r="J15" s="78"/>
      <c r="K15" s="12" t="s">
        <v>519</v>
      </c>
      <c r="L15" s="12"/>
    </row>
    <row r="16" spans="2:12" ht="36.75" customHeight="1" x14ac:dyDescent="0.25">
      <c r="B16" s="21">
        <v>7</v>
      </c>
      <c r="C16" s="79" t="s">
        <v>490</v>
      </c>
      <c r="D16" s="80"/>
      <c r="E16" s="81"/>
      <c r="F16" s="79" t="s">
        <v>104</v>
      </c>
      <c r="G16" s="80"/>
      <c r="H16" s="80"/>
      <c r="I16" s="80"/>
      <c r="J16" s="81"/>
      <c r="K16" s="12" t="s">
        <v>519</v>
      </c>
      <c r="L16" s="12"/>
    </row>
    <row r="17" spans="2:15" ht="36" customHeight="1" x14ac:dyDescent="0.25">
      <c r="B17" s="21">
        <v>8</v>
      </c>
      <c r="C17" s="79" t="s">
        <v>491</v>
      </c>
      <c r="D17" s="80"/>
      <c r="E17" s="81"/>
      <c r="F17" s="79" t="s">
        <v>104</v>
      </c>
      <c r="G17" s="80"/>
      <c r="H17" s="80"/>
      <c r="I17" s="80"/>
      <c r="J17" s="81"/>
      <c r="K17" s="12" t="s">
        <v>519</v>
      </c>
      <c r="L17" s="12"/>
    </row>
    <row r="18" spans="2:15" ht="67.5" customHeight="1" x14ac:dyDescent="0.25">
      <c r="B18" s="21">
        <v>9</v>
      </c>
      <c r="C18" s="79" t="s">
        <v>178</v>
      </c>
      <c r="D18" s="80"/>
      <c r="E18" s="81"/>
      <c r="F18" s="79" t="s">
        <v>492</v>
      </c>
      <c r="G18" s="80"/>
      <c r="H18" s="80"/>
      <c r="I18" s="80"/>
      <c r="J18" s="81"/>
      <c r="K18" s="12" t="s">
        <v>519</v>
      </c>
      <c r="L18" s="12" t="s">
        <v>493</v>
      </c>
    </row>
    <row r="19" spans="2:15" ht="45.75" customHeight="1" x14ac:dyDescent="0.25">
      <c r="B19" s="21">
        <v>10</v>
      </c>
      <c r="C19" s="79" t="s">
        <v>179</v>
      </c>
      <c r="D19" s="80"/>
      <c r="E19" s="81"/>
      <c r="F19" s="79" t="s">
        <v>180</v>
      </c>
      <c r="G19" s="80"/>
      <c r="H19" s="80"/>
      <c r="I19" s="80"/>
      <c r="J19" s="81"/>
      <c r="K19" s="12" t="s">
        <v>519</v>
      </c>
      <c r="L19" s="12"/>
    </row>
    <row r="20" spans="2:15" ht="27" customHeight="1" x14ac:dyDescent="0.25">
      <c r="B20" s="21">
        <v>11</v>
      </c>
      <c r="C20" s="79" t="s">
        <v>181</v>
      </c>
      <c r="D20" s="80"/>
      <c r="E20" s="81"/>
      <c r="F20" s="79" t="s">
        <v>182</v>
      </c>
      <c r="G20" s="80"/>
      <c r="H20" s="80"/>
      <c r="I20" s="80"/>
      <c r="J20" s="81"/>
      <c r="K20" s="12" t="s">
        <v>519</v>
      </c>
      <c r="L20" s="12"/>
    </row>
    <row r="21" spans="2:15" customFormat="1" ht="87" customHeight="1" x14ac:dyDescent="0.25">
      <c r="B21" s="21">
        <v>12</v>
      </c>
      <c r="C21" s="79" t="s">
        <v>514</v>
      </c>
      <c r="D21" s="80"/>
      <c r="E21" s="81"/>
      <c r="F21" s="79" t="s">
        <v>104</v>
      </c>
      <c r="G21" s="77"/>
      <c r="H21" s="77"/>
      <c r="I21" s="77"/>
      <c r="J21" s="78"/>
      <c r="K21" s="12" t="s">
        <v>519</v>
      </c>
      <c r="L21" s="12"/>
    </row>
    <row r="22" spans="2:15" customFormat="1" ht="87" customHeight="1" x14ac:dyDescent="0.25">
      <c r="B22" s="21">
        <v>13</v>
      </c>
      <c r="C22" s="79" t="s">
        <v>533</v>
      </c>
      <c r="D22" s="80"/>
      <c r="E22" s="81"/>
      <c r="F22" s="79" t="s">
        <v>104</v>
      </c>
      <c r="G22" s="77"/>
      <c r="H22" s="77"/>
      <c r="I22" s="77"/>
      <c r="J22" s="78"/>
      <c r="K22" s="12" t="s">
        <v>519</v>
      </c>
      <c r="L22" s="12"/>
    </row>
    <row r="23" spans="2:15" x14ac:dyDescent="0.25">
      <c r="B23" s="21"/>
      <c r="C23" s="79"/>
      <c r="D23" s="80"/>
      <c r="E23" s="81"/>
      <c r="F23" s="79"/>
      <c r="G23" s="80"/>
      <c r="H23" s="80"/>
      <c r="I23" s="80"/>
      <c r="J23" s="81"/>
      <c r="K23" s="12"/>
      <c r="L23" s="12"/>
    </row>
    <row r="24" spans="2:15" x14ac:dyDescent="0.25">
      <c r="B24" s="22"/>
      <c r="C24" s="84"/>
      <c r="D24" s="80"/>
      <c r="E24" s="81"/>
      <c r="F24" s="84"/>
      <c r="G24" s="80"/>
      <c r="H24" s="80"/>
      <c r="I24" s="80"/>
      <c r="J24" s="81"/>
      <c r="K24" s="9"/>
      <c r="L24" s="9"/>
    </row>
    <row r="25" spans="2:15" x14ac:dyDescent="0.25">
      <c r="B25" s="22"/>
      <c r="C25" s="76"/>
      <c r="D25" s="77"/>
      <c r="E25" s="78"/>
      <c r="F25" s="84"/>
      <c r="G25" s="80"/>
      <c r="H25" s="80"/>
      <c r="I25" s="80"/>
      <c r="J25" s="81"/>
      <c r="K25" s="9"/>
      <c r="L25" s="9"/>
    </row>
    <row r="28" spans="2:15" x14ac:dyDescent="0.25">
      <c r="C28" s="7" t="s">
        <v>15</v>
      </c>
      <c r="D28" s="82" t="s">
        <v>104</v>
      </c>
      <c r="E28" s="82"/>
      <c r="F28" s="82"/>
      <c r="G28" s="82"/>
      <c r="H28" s="82"/>
      <c r="I28" s="82"/>
      <c r="J28" s="82"/>
      <c r="K28" s="82"/>
    </row>
    <row r="31" spans="2:15" x14ac:dyDescent="0.25">
      <c r="L31" s="23"/>
      <c r="M31" s="23"/>
      <c r="N31" s="23"/>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sheetData>
  <mergeCells count="38">
    <mergeCell ref="D28:K28"/>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D5:K5"/>
    <mergeCell ref="D7:K7"/>
    <mergeCell ref="C9:E9"/>
    <mergeCell ref="F9:J9"/>
    <mergeCell ref="C13:E13"/>
    <mergeCell ref="F13:J13"/>
    <mergeCell ref="E6:K6"/>
    <mergeCell ref="C10:E10"/>
    <mergeCell ref="F10:J10"/>
    <mergeCell ref="C11:E11"/>
    <mergeCell ref="F11:J11"/>
    <mergeCell ref="C12:E12"/>
    <mergeCell ref="F12:J12"/>
  </mergeCells>
  <dataValidations count="1">
    <dataValidation type="list" allowBlank="1" showInputMessage="1" showErrorMessage="1" promptTitle="Choose Result" sqref="D6 K10:K22">
      <formula1>TestResult</formula1>
    </dataValidation>
  </dataValidations>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58</v>
      </c>
      <c r="E4" s="25" t="s">
        <v>183</v>
      </c>
      <c r="F4" s="25" t="s">
        <v>16</v>
      </c>
      <c r="G4" s="25" t="s">
        <v>61</v>
      </c>
      <c r="H4" s="25" t="s">
        <v>62</v>
      </c>
      <c r="I4" s="25"/>
      <c r="J4" s="25" t="s">
        <v>62</v>
      </c>
      <c r="K4" s="37">
        <v>42153</v>
      </c>
    </row>
    <row r="5" spans="2:12" x14ac:dyDescent="0.25">
      <c r="C5" s="7" t="s">
        <v>517</v>
      </c>
      <c r="D5" s="82" t="s">
        <v>534</v>
      </c>
      <c r="E5" s="82"/>
      <c r="F5" s="82"/>
      <c r="G5" s="82"/>
      <c r="H5" s="82"/>
      <c r="I5" s="82"/>
      <c r="J5" s="82"/>
      <c r="K5" s="82"/>
    </row>
    <row r="6" spans="2:12" x14ac:dyDescent="0.25">
      <c r="C6" s="7" t="s">
        <v>467</v>
      </c>
      <c r="D6" s="12" t="s">
        <v>519</v>
      </c>
      <c r="E6" s="76" t="s">
        <v>609</v>
      </c>
      <c r="F6" s="77"/>
      <c r="G6" s="77"/>
      <c r="H6" s="77"/>
      <c r="I6" s="77"/>
      <c r="J6" s="77"/>
      <c r="K6" s="78"/>
    </row>
    <row r="7" spans="2:12" x14ac:dyDescent="0.25">
      <c r="C7" s="7" t="s">
        <v>9</v>
      </c>
      <c r="D7" s="82" t="s">
        <v>63</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0" customHeight="1" x14ac:dyDescent="0.25">
      <c r="B10" s="21">
        <v>1</v>
      </c>
      <c r="C10" s="79" t="s">
        <v>64</v>
      </c>
      <c r="D10" s="80"/>
      <c r="E10" s="81"/>
      <c r="F10" s="79" t="s">
        <v>75</v>
      </c>
      <c r="G10" s="77"/>
      <c r="H10" s="77"/>
      <c r="I10" s="77"/>
      <c r="J10" s="78"/>
      <c r="K10" s="12" t="s">
        <v>519</v>
      </c>
      <c r="L10" s="12"/>
    </row>
    <row r="11" spans="2:12" ht="30" customHeight="1" x14ac:dyDescent="0.25">
      <c r="B11" s="21">
        <v>2</v>
      </c>
      <c r="C11" s="79" t="s">
        <v>184</v>
      </c>
      <c r="D11" s="80"/>
      <c r="E11" s="81"/>
      <c r="F11" s="79" t="s">
        <v>185</v>
      </c>
      <c r="G11" s="77"/>
      <c r="H11" s="77"/>
      <c r="I11" s="77"/>
      <c r="J11" s="78"/>
      <c r="K11" s="12" t="s">
        <v>519</v>
      </c>
      <c r="L11" s="12"/>
    </row>
    <row r="12" spans="2:12" ht="30" customHeight="1" x14ac:dyDescent="0.25">
      <c r="B12" s="21">
        <v>3</v>
      </c>
      <c r="C12" s="79" t="s">
        <v>186</v>
      </c>
      <c r="D12" s="80"/>
      <c r="E12" s="81"/>
      <c r="F12" s="79" t="s">
        <v>187</v>
      </c>
      <c r="G12" s="77"/>
      <c r="H12" s="77"/>
      <c r="I12" s="77"/>
      <c r="J12" s="78"/>
      <c r="K12" s="12" t="s">
        <v>519</v>
      </c>
      <c r="L12" s="12"/>
    </row>
    <row r="13" spans="2:12" ht="30" customHeight="1" x14ac:dyDescent="0.25">
      <c r="B13" s="21">
        <v>4</v>
      </c>
      <c r="C13" s="79" t="s">
        <v>188</v>
      </c>
      <c r="D13" s="80"/>
      <c r="E13" s="81"/>
      <c r="F13" s="79" t="s">
        <v>189</v>
      </c>
      <c r="G13" s="77"/>
      <c r="H13" s="77"/>
      <c r="I13" s="77"/>
      <c r="J13" s="78"/>
      <c r="K13" s="12" t="s">
        <v>519</v>
      </c>
      <c r="L13" s="12"/>
    </row>
    <row r="14" spans="2:12" ht="30.75" customHeight="1" x14ac:dyDescent="0.25">
      <c r="B14" s="21">
        <v>5</v>
      </c>
      <c r="C14" s="79" t="s">
        <v>76</v>
      </c>
      <c r="D14" s="80"/>
      <c r="E14" s="81"/>
      <c r="F14" s="79" t="s">
        <v>77</v>
      </c>
      <c r="G14" s="77"/>
      <c r="H14" s="77"/>
      <c r="I14" s="77"/>
      <c r="J14" s="78"/>
      <c r="K14" s="12" t="s">
        <v>519</v>
      </c>
      <c r="L14" s="12"/>
    </row>
    <row r="15" spans="2:12" ht="34.5" customHeight="1" x14ac:dyDescent="0.25">
      <c r="B15" s="21">
        <v>6</v>
      </c>
      <c r="C15" s="79" t="s">
        <v>65</v>
      </c>
      <c r="D15" s="80"/>
      <c r="E15" s="81"/>
      <c r="F15" s="79" t="s">
        <v>66</v>
      </c>
      <c r="G15" s="77"/>
      <c r="H15" s="77"/>
      <c r="I15" s="77"/>
      <c r="J15" s="78"/>
      <c r="K15" s="12" t="s">
        <v>519</v>
      </c>
      <c r="L15" s="12"/>
    </row>
    <row r="16" spans="2:12" x14ac:dyDescent="0.25">
      <c r="B16" s="21">
        <v>7</v>
      </c>
      <c r="C16" s="79" t="s">
        <v>67</v>
      </c>
      <c r="D16" s="80"/>
      <c r="E16" s="81"/>
      <c r="F16" s="79" t="s">
        <v>68</v>
      </c>
      <c r="G16" s="80"/>
      <c r="H16" s="80"/>
      <c r="I16" s="80"/>
      <c r="J16" s="81"/>
      <c r="K16" s="12" t="s">
        <v>519</v>
      </c>
      <c r="L16" s="12"/>
    </row>
    <row r="17" spans="2:15" x14ac:dyDescent="0.25">
      <c r="B17" s="21">
        <v>8</v>
      </c>
      <c r="C17" s="79" t="s">
        <v>69</v>
      </c>
      <c r="D17" s="80"/>
      <c r="E17" s="81"/>
      <c r="F17" s="79" t="s">
        <v>70</v>
      </c>
      <c r="G17" s="80"/>
      <c r="H17" s="80"/>
      <c r="I17" s="80"/>
      <c r="J17" s="81"/>
      <c r="K17" s="12" t="s">
        <v>519</v>
      </c>
      <c r="L17" s="12"/>
    </row>
    <row r="18" spans="2:15" ht="29.25" customHeight="1" x14ac:dyDescent="0.25">
      <c r="B18" s="21">
        <v>9</v>
      </c>
      <c r="C18" s="79" t="s">
        <v>73</v>
      </c>
      <c r="D18" s="80"/>
      <c r="E18" s="81"/>
      <c r="F18" s="79" t="s">
        <v>71</v>
      </c>
      <c r="G18" s="80"/>
      <c r="H18" s="80"/>
      <c r="I18" s="80"/>
      <c r="J18" s="81"/>
      <c r="K18" s="12" t="s">
        <v>519</v>
      </c>
      <c r="L18" s="12"/>
    </row>
    <row r="19" spans="2:15" ht="45.75" customHeight="1" x14ac:dyDescent="0.25">
      <c r="B19" s="21">
        <v>10</v>
      </c>
      <c r="C19" s="79" t="s">
        <v>72</v>
      </c>
      <c r="D19" s="80"/>
      <c r="E19" s="81"/>
      <c r="F19" s="79" t="s">
        <v>74</v>
      </c>
      <c r="G19" s="80"/>
      <c r="H19" s="80"/>
      <c r="I19" s="80"/>
      <c r="J19" s="81"/>
      <c r="K19" s="12" t="s">
        <v>519</v>
      </c>
      <c r="L19" s="12"/>
    </row>
    <row r="20" spans="2:15" ht="27" customHeight="1" x14ac:dyDescent="0.25">
      <c r="B20" s="21">
        <v>11</v>
      </c>
      <c r="C20" s="79" t="s">
        <v>79</v>
      </c>
      <c r="D20" s="80"/>
      <c r="E20" s="81"/>
      <c r="F20" s="79" t="s">
        <v>103</v>
      </c>
      <c r="G20" s="80"/>
      <c r="H20" s="80"/>
      <c r="I20" s="80"/>
      <c r="J20" s="81"/>
      <c r="K20" s="12" t="s">
        <v>519</v>
      </c>
      <c r="L20" s="12"/>
    </row>
    <row r="21" spans="2:15" x14ac:dyDescent="0.25">
      <c r="B21" s="21">
        <v>12</v>
      </c>
      <c r="C21" s="76" t="s">
        <v>78</v>
      </c>
      <c r="D21" s="77"/>
      <c r="E21" s="78"/>
      <c r="F21" s="79" t="s">
        <v>190</v>
      </c>
      <c r="G21" s="80"/>
      <c r="H21" s="80"/>
      <c r="I21" s="80"/>
      <c r="J21" s="81"/>
      <c r="K21" s="12" t="s">
        <v>519</v>
      </c>
      <c r="L21" s="12"/>
    </row>
    <row r="22" spans="2:15" x14ac:dyDescent="0.25">
      <c r="B22" s="21"/>
      <c r="C22" s="79"/>
      <c r="D22" s="80"/>
      <c r="E22" s="81"/>
      <c r="F22" s="79"/>
      <c r="G22" s="80"/>
      <c r="H22" s="80"/>
      <c r="I22" s="80"/>
      <c r="J22" s="81"/>
      <c r="K22" s="12"/>
      <c r="L22" s="12"/>
    </row>
    <row r="23" spans="2:15" x14ac:dyDescent="0.25">
      <c r="B23" s="21"/>
      <c r="C23" s="79"/>
      <c r="D23" s="80"/>
      <c r="E23" s="81"/>
      <c r="F23" s="79"/>
      <c r="G23" s="80"/>
      <c r="H23" s="80"/>
      <c r="I23" s="80"/>
      <c r="J23" s="81"/>
      <c r="K23" s="12"/>
      <c r="L23" s="12"/>
    </row>
    <row r="24" spans="2:15" x14ac:dyDescent="0.25">
      <c r="B24" s="22"/>
      <c r="C24" s="84"/>
      <c r="D24" s="80"/>
      <c r="E24" s="81"/>
      <c r="F24" s="84"/>
      <c r="G24" s="80"/>
      <c r="H24" s="80"/>
      <c r="I24" s="80"/>
      <c r="J24" s="81"/>
      <c r="K24" s="25"/>
      <c r="L24" s="25"/>
    </row>
    <row r="25" spans="2:15" x14ac:dyDescent="0.25">
      <c r="B25" s="22"/>
      <c r="C25" s="76"/>
      <c r="D25" s="77"/>
      <c r="E25" s="78"/>
      <c r="F25" s="84"/>
      <c r="G25" s="80"/>
      <c r="H25" s="80"/>
      <c r="I25" s="80"/>
      <c r="J25" s="81"/>
      <c r="K25" s="12"/>
      <c r="L25" s="25"/>
    </row>
    <row r="28" spans="2:15" x14ac:dyDescent="0.25">
      <c r="C28" s="7" t="s">
        <v>15</v>
      </c>
      <c r="D28" s="82" t="s">
        <v>104</v>
      </c>
      <c r="E28" s="82"/>
      <c r="F28" s="82"/>
      <c r="G28" s="82"/>
      <c r="H28" s="82"/>
      <c r="I28" s="82"/>
      <c r="J28" s="82"/>
      <c r="K28" s="82"/>
    </row>
    <row r="31" spans="2:15" x14ac:dyDescent="0.25">
      <c r="L31" s="13" t="s">
        <v>80</v>
      </c>
      <c r="M31" s="13" t="s">
        <v>81</v>
      </c>
      <c r="N31" s="13" t="s">
        <v>82</v>
      </c>
      <c r="O31" s="14"/>
    </row>
    <row r="32" spans="2:15" x14ac:dyDescent="0.2">
      <c r="L32" s="14" t="s">
        <v>83</v>
      </c>
      <c r="M32" s="14" t="s">
        <v>84</v>
      </c>
      <c r="N32" s="14" t="s">
        <v>85</v>
      </c>
      <c r="O32" s="15"/>
    </row>
    <row r="33" spans="12:15" x14ac:dyDescent="0.2">
      <c r="L33" s="14" t="s">
        <v>86</v>
      </c>
      <c r="M33" s="14" t="s">
        <v>87</v>
      </c>
      <c r="N33" s="14" t="s">
        <v>88</v>
      </c>
      <c r="O33" s="16"/>
    </row>
    <row r="34" spans="12:15" x14ac:dyDescent="0.2">
      <c r="L34" s="14" t="s">
        <v>89</v>
      </c>
      <c r="M34" s="14" t="s">
        <v>90</v>
      </c>
      <c r="N34" s="14" t="s">
        <v>91</v>
      </c>
      <c r="O34" s="17"/>
    </row>
    <row r="35" spans="12:15" x14ac:dyDescent="0.2">
      <c r="L35" s="14" t="s">
        <v>92</v>
      </c>
      <c r="M35" s="14" t="s">
        <v>93</v>
      </c>
      <c r="N35" s="14" t="s">
        <v>94</v>
      </c>
      <c r="O35" s="18"/>
    </row>
    <row r="36" spans="12:15" x14ac:dyDescent="0.2">
      <c r="L36" s="14" t="s">
        <v>95</v>
      </c>
      <c r="M36" s="14" t="s">
        <v>96</v>
      </c>
      <c r="N36" s="14" t="s">
        <v>91</v>
      </c>
      <c r="O36" s="17"/>
    </row>
    <row r="37" spans="12:15" x14ac:dyDescent="0.2">
      <c r="L37" s="14" t="s">
        <v>97</v>
      </c>
      <c r="M37" s="14" t="s">
        <v>98</v>
      </c>
      <c r="N37" s="14" t="s">
        <v>99</v>
      </c>
      <c r="O37" s="19"/>
    </row>
    <row r="38" spans="12:15" x14ac:dyDescent="0.2">
      <c r="L38" s="14" t="s">
        <v>100</v>
      </c>
      <c r="M38" s="14" t="s">
        <v>101</v>
      </c>
      <c r="N38" s="14" t="s">
        <v>102</v>
      </c>
      <c r="O38" s="20"/>
    </row>
  </sheetData>
  <mergeCells count="38">
    <mergeCell ref="D5:K5"/>
    <mergeCell ref="D7:K7"/>
    <mergeCell ref="C9:E9"/>
    <mergeCell ref="F9:J9"/>
    <mergeCell ref="C10:E10"/>
    <mergeCell ref="F10:J10"/>
    <mergeCell ref="E6:K6"/>
    <mergeCell ref="C14:E14"/>
    <mergeCell ref="F14:J14"/>
    <mergeCell ref="C15:E15"/>
    <mergeCell ref="F15:J15"/>
    <mergeCell ref="C16:E16"/>
    <mergeCell ref="F16:J16"/>
    <mergeCell ref="F21:J21"/>
    <mergeCell ref="C22:E22"/>
    <mergeCell ref="F22:J22"/>
    <mergeCell ref="C17:E17"/>
    <mergeCell ref="F17:J17"/>
    <mergeCell ref="C18:E18"/>
    <mergeCell ref="F18:J18"/>
    <mergeCell ref="C19:E19"/>
    <mergeCell ref="F19:J19"/>
    <mergeCell ref="D28:K28"/>
    <mergeCell ref="C11:E11"/>
    <mergeCell ref="F11:J11"/>
    <mergeCell ref="C12:E12"/>
    <mergeCell ref="F12:J12"/>
    <mergeCell ref="C13:E13"/>
    <mergeCell ref="F13:J13"/>
    <mergeCell ref="C23:E23"/>
    <mergeCell ref="F23:J23"/>
    <mergeCell ref="C24:E24"/>
    <mergeCell ref="F24:J24"/>
    <mergeCell ref="C25:E25"/>
    <mergeCell ref="F25:J25"/>
    <mergeCell ref="C20:E20"/>
    <mergeCell ref="F20:J20"/>
    <mergeCell ref="C21:E21"/>
  </mergeCells>
  <dataValidations count="1">
    <dataValidation type="list" allowBlank="1" showInputMessage="1" showErrorMessage="1" promptTitle="Choose Result" sqref="D6 K25 K10:K21">
      <formula1>TestResult</formula1>
    </dataValidation>
  </dataValidations>
  <pageMargins left="0.7" right="0.7" top="0.75" bottom="0.75" header="0.3" footer="0.3"/>
  <pageSetup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38" t="s">
        <v>16</v>
      </c>
      <c r="D4" s="38" t="s">
        <v>482</v>
      </c>
      <c r="E4" s="38" t="s">
        <v>483</v>
      </c>
      <c r="F4" s="38" t="s">
        <v>16</v>
      </c>
      <c r="G4" s="38" t="s">
        <v>61</v>
      </c>
      <c r="H4" s="38" t="s">
        <v>62</v>
      </c>
      <c r="I4" s="38"/>
      <c r="J4" s="38" t="s">
        <v>62</v>
      </c>
      <c r="K4" s="37">
        <v>42153</v>
      </c>
    </row>
    <row r="5" spans="2:12" x14ac:dyDescent="0.25">
      <c r="C5" s="7" t="s">
        <v>517</v>
      </c>
      <c r="D5" s="82" t="s">
        <v>484</v>
      </c>
      <c r="E5" s="82"/>
      <c r="F5" s="82"/>
      <c r="G5" s="82"/>
      <c r="H5" s="82"/>
      <c r="I5" s="82"/>
      <c r="J5" s="82"/>
      <c r="K5" s="82"/>
    </row>
    <row r="6" spans="2:12" x14ac:dyDescent="0.25">
      <c r="C6" s="7" t="s">
        <v>467</v>
      </c>
      <c r="D6" s="12" t="s">
        <v>519</v>
      </c>
      <c r="E6" s="76" t="s">
        <v>609</v>
      </c>
      <c r="F6" s="77"/>
      <c r="G6" s="77"/>
      <c r="H6" s="77"/>
      <c r="I6" s="77"/>
      <c r="J6" s="77"/>
      <c r="K6" s="78"/>
    </row>
    <row r="7" spans="2:12" x14ac:dyDescent="0.25">
      <c r="C7" s="7" t="s">
        <v>9</v>
      </c>
      <c r="D7" s="82" t="s">
        <v>63</v>
      </c>
      <c r="E7" s="82"/>
      <c r="F7" s="82"/>
      <c r="G7" s="82"/>
      <c r="H7" s="82"/>
      <c r="I7" s="82"/>
      <c r="J7" s="82"/>
      <c r="K7" s="82"/>
    </row>
    <row r="9" spans="2:12" x14ac:dyDescent="0.25">
      <c r="B9" s="39" t="s">
        <v>10</v>
      </c>
      <c r="C9" s="83" t="s">
        <v>11</v>
      </c>
      <c r="D9" s="83"/>
      <c r="E9" s="83"/>
      <c r="F9" s="83" t="s">
        <v>12</v>
      </c>
      <c r="G9" s="83"/>
      <c r="H9" s="83"/>
      <c r="I9" s="83"/>
      <c r="J9" s="83"/>
      <c r="K9" s="39" t="s">
        <v>13</v>
      </c>
      <c r="L9" s="39" t="s">
        <v>14</v>
      </c>
    </row>
    <row r="10" spans="2:12" ht="30" customHeight="1" x14ac:dyDescent="0.25">
      <c r="B10" s="21">
        <v>1</v>
      </c>
      <c r="C10" s="79" t="s">
        <v>114</v>
      </c>
      <c r="D10" s="80"/>
      <c r="E10" s="81"/>
      <c r="F10" s="79" t="s">
        <v>141</v>
      </c>
      <c r="G10" s="77"/>
      <c r="H10" s="77"/>
      <c r="I10" s="77"/>
      <c r="J10" s="78"/>
      <c r="K10" s="12" t="s">
        <v>519</v>
      </c>
      <c r="L10" s="12"/>
    </row>
    <row r="11" spans="2:12" ht="47.25" customHeight="1" x14ac:dyDescent="0.25">
      <c r="B11" s="21">
        <v>2</v>
      </c>
      <c r="C11" s="79" t="s">
        <v>590</v>
      </c>
      <c r="D11" s="80"/>
      <c r="E11" s="81"/>
      <c r="F11" s="79" t="s">
        <v>485</v>
      </c>
      <c r="G11" s="77"/>
      <c r="H11" s="77"/>
      <c r="I11" s="77"/>
      <c r="J11" s="78"/>
      <c r="K11" s="12" t="s">
        <v>519</v>
      </c>
      <c r="L11" s="12"/>
    </row>
    <row r="12" spans="2:12" ht="30" customHeight="1" x14ac:dyDescent="0.25">
      <c r="B12" s="21">
        <v>3</v>
      </c>
      <c r="C12" s="79" t="s">
        <v>170</v>
      </c>
      <c r="D12" s="80"/>
      <c r="E12" s="81"/>
      <c r="F12" s="79" t="s">
        <v>171</v>
      </c>
      <c r="G12" s="77"/>
      <c r="H12" s="77"/>
      <c r="I12" s="77"/>
      <c r="J12" s="78"/>
      <c r="K12" s="12" t="s">
        <v>519</v>
      </c>
      <c r="L12" s="12"/>
    </row>
    <row r="13" spans="2:12" ht="54.75" customHeight="1" x14ac:dyDescent="0.25">
      <c r="B13" s="21">
        <v>4</v>
      </c>
      <c r="C13" s="79" t="s">
        <v>172</v>
      </c>
      <c r="D13" s="80"/>
      <c r="E13" s="81"/>
      <c r="F13" s="79" t="s">
        <v>487</v>
      </c>
      <c r="G13" s="80"/>
      <c r="H13" s="80"/>
      <c r="I13" s="80"/>
      <c r="J13" s="81"/>
      <c r="K13" s="12" t="s">
        <v>519</v>
      </c>
      <c r="L13" s="12"/>
    </row>
    <row r="14" spans="2:12" ht="35.25" customHeight="1" x14ac:dyDescent="0.25">
      <c r="B14" s="21">
        <v>5</v>
      </c>
      <c r="C14" s="79" t="s">
        <v>488</v>
      </c>
      <c r="D14" s="80"/>
      <c r="E14" s="81"/>
      <c r="F14" s="79" t="s">
        <v>489</v>
      </c>
      <c r="G14" s="80"/>
      <c r="H14" s="80"/>
      <c r="I14" s="80"/>
      <c r="J14" s="81"/>
      <c r="K14" s="12" t="s">
        <v>519</v>
      </c>
      <c r="L14" s="12"/>
    </row>
    <row r="15" spans="2:12" ht="34.5" customHeight="1" x14ac:dyDescent="0.25">
      <c r="B15" s="21">
        <v>6</v>
      </c>
      <c r="C15" s="79"/>
      <c r="D15" s="80"/>
      <c r="E15" s="81"/>
      <c r="F15" s="79"/>
      <c r="G15" s="77"/>
      <c r="H15" s="77"/>
      <c r="I15" s="77"/>
      <c r="J15" s="78"/>
      <c r="K15" s="12"/>
      <c r="L15" s="12"/>
    </row>
    <row r="16" spans="2:12" x14ac:dyDescent="0.25">
      <c r="B16" s="21">
        <v>7</v>
      </c>
      <c r="C16" s="79"/>
      <c r="D16" s="80"/>
      <c r="E16" s="81"/>
      <c r="F16" s="79"/>
      <c r="G16" s="80"/>
      <c r="H16" s="80"/>
      <c r="I16" s="80"/>
      <c r="J16" s="81"/>
      <c r="K16" s="12"/>
      <c r="L16" s="12"/>
    </row>
    <row r="17" spans="2:15" x14ac:dyDescent="0.25">
      <c r="B17" s="21">
        <v>8</v>
      </c>
      <c r="C17" s="79"/>
      <c r="D17" s="80"/>
      <c r="E17" s="81"/>
      <c r="F17" s="79"/>
      <c r="G17" s="80"/>
      <c r="H17" s="80"/>
      <c r="I17" s="80"/>
      <c r="J17" s="81"/>
      <c r="K17" s="12"/>
      <c r="L17" s="12"/>
    </row>
    <row r="18" spans="2:15" ht="29.25" customHeight="1" x14ac:dyDescent="0.25">
      <c r="B18" s="21">
        <v>9</v>
      </c>
      <c r="C18" s="79"/>
      <c r="D18" s="80"/>
      <c r="E18" s="81"/>
      <c r="F18" s="79"/>
      <c r="G18" s="80"/>
      <c r="H18" s="80"/>
      <c r="I18" s="80"/>
      <c r="J18" s="81"/>
      <c r="K18" s="12"/>
      <c r="L18" s="12"/>
    </row>
    <row r="19" spans="2:15" ht="45.75" customHeight="1" x14ac:dyDescent="0.25">
      <c r="B19" s="21">
        <v>10</v>
      </c>
      <c r="C19" s="79"/>
      <c r="D19" s="80"/>
      <c r="E19" s="81"/>
      <c r="F19" s="79"/>
      <c r="G19" s="80"/>
      <c r="H19" s="80"/>
      <c r="I19" s="80"/>
      <c r="J19" s="81"/>
      <c r="K19" s="12"/>
      <c r="L19" s="12"/>
    </row>
    <row r="20" spans="2:15" ht="27" customHeight="1" x14ac:dyDescent="0.25">
      <c r="B20" s="21">
        <v>11</v>
      </c>
      <c r="C20" s="79"/>
      <c r="D20" s="80"/>
      <c r="E20" s="81"/>
      <c r="F20" s="79"/>
      <c r="G20" s="80"/>
      <c r="H20" s="80"/>
      <c r="I20" s="80"/>
      <c r="J20" s="81"/>
      <c r="K20" s="12"/>
      <c r="L20" s="12"/>
    </row>
    <row r="21" spans="2:15" x14ac:dyDescent="0.25">
      <c r="B21" s="21">
        <v>12</v>
      </c>
      <c r="C21" s="76"/>
      <c r="D21" s="77"/>
      <c r="E21" s="78"/>
      <c r="F21" s="79"/>
      <c r="G21" s="80"/>
      <c r="H21" s="80"/>
      <c r="I21" s="80"/>
      <c r="J21" s="81"/>
      <c r="K21" s="12"/>
      <c r="L21" s="12"/>
    </row>
    <row r="22" spans="2:15" x14ac:dyDescent="0.25">
      <c r="B22" s="21"/>
      <c r="C22" s="79"/>
      <c r="D22" s="80"/>
      <c r="E22" s="81"/>
      <c r="F22" s="79"/>
      <c r="G22" s="80"/>
      <c r="H22" s="80"/>
      <c r="I22" s="80"/>
      <c r="J22" s="81"/>
      <c r="K22" s="12"/>
      <c r="L22" s="12"/>
    </row>
    <row r="23" spans="2:15" x14ac:dyDescent="0.25">
      <c r="B23" s="21"/>
      <c r="C23" s="79"/>
      <c r="D23" s="80"/>
      <c r="E23" s="81"/>
      <c r="F23" s="79"/>
      <c r="G23" s="80"/>
      <c r="H23" s="80"/>
      <c r="I23" s="80"/>
      <c r="J23" s="81"/>
      <c r="K23" s="12"/>
      <c r="L23" s="12"/>
    </row>
    <row r="24" spans="2:15" x14ac:dyDescent="0.25">
      <c r="B24" s="22"/>
      <c r="C24" s="84"/>
      <c r="D24" s="80"/>
      <c r="E24" s="81"/>
      <c r="F24" s="84"/>
      <c r="G24" s="80"/>
      <c r="H24" s="80"/>
      <c r="I24" s="80"/>
      <c r="J24" s="81"/>
      <c r="K24" s="38"/>
      <c r="L24" s="38"/>
    </row>
    <row r="25" spans="2:15" x14ac:dyDescent="0.25">
      <c r="B25" s="22"/>
      <c r="C25" s="76"/>
      <c r="D25" s="77"/>
      <c r="E25" s="78"/>
      <c r="F25" s="84"/>
      <c r="G25" s="80"/>
      <c r="H25" s="80"/>
      <c r="I25" s="80"/>
      <c r="J25" s="81"/>
      <c r="K25" s="12"/>
      <c r="L25" s="38"/>
    </row>
    <row r="28" spans="2:15" x14ac:dyDescent="0.25">
      <c r="C28" s="7" t="s">
        <v>15</v>
      </c>
      <c r="D28" s="82" t="s">
        <v>104</v>
      </c>
      <c r="E28" s="82"/>
      <c r="F28" s="82"/>
      <c r="G28" s="82"/>
      <c r="H28" s="82"/>
      <c r="I28" s="82"/>
      <c r="J28" s="82"/>
      <c r="K28" s="82"/>
    </row>
    <row r="31" spans="2:15" x14ac:dyDescent="0.25">
      <c r="L31" s="13" t="s">
        <v>80</v>
      </c>
      <c r="M31" s="13" t="s">
        <v>81</v>
      </c>
      <c r="N31" s="13" t="s">
        <v>82</v>
      </c>
      <c r="O31" s="14"/>
    </row>
    <row r="32" spans="2:15" x14ac:dyDescent="0.2">
      <c r="L32" s="14" t="s">
        <v>83</v>
      </c>
      <c r="M32" s="14" t="s">
        <v>84</v>
      </c>
      <c r="N32" s="14" t="s">
        <v>85</v>
      </c>
      <c r="O32" s="15"/>
    </row>
    <row r="33" spans="12:15" x14ac:dyDescent="0.2">
      <c r="L33" s="14" t="s">
        <v>86</v>
      </c>
      <c r="M33" s="14" t="s">
        <v>87</v>
      </c>
      <c r="N33" s="14" t="s">
        <v>88</v>
      </c>
      <c r="O33" s="16"/>
    </row>
    <row r="34" spans="12:15" x14ac:dyDescent="0.2">
      <c r="L34" s="14" t="s">
        <v>89</v>
      </c>
      <c r="M34" s="14" t="s">
        <v>90</v>
      </c>
      <c r="N34" s="14" t="s">
        <v>91</v>
      </c>
      <c r="O34" s="17"/>
    </row>
    <row r="35" spans="12:15" x14ac:dyDescent="0.2">
      <c r="L35" s="14" t="s">
        <v>92</v>
      </c>
      <c r="M35" s="14" t="s">
        <v>93</v>
      </c>
      <c r="N35" s="14" t="s">
        <v>94</v>
      </c>
      <c r="O35" s="18"/>
    </row>
    <row r="36" spans="12:15" x14ac:dyDescent="0.2">
      <c r="L36" s="14" t="s">
        <v>95</v>
      </c>
      <c r="M36" s="14" t="s">
        <v>96</v>
      </c>
      <c r="N36" s="14" t="s">
        <v>91</v>
      </c>
      <c r="O36" s="17"/>
    </row>
    <row r="37" spans="12:15" x14ac:dyDescent="0.2">
      <c r="L37" s="14" t="s">
        <v>97</v>
      </c>
      <c r="M37" s="14" t="s">
        <v>98</v>
      </c>
      <c r="N37" s="14" t="s">
        <v>99</v>
      </c>
      <c r="O37" s="19"/>
    </row>
    <row r="38" spans="12:15" x14ac:dyDescent="0.2">
      <c r="L38" s="14" t="s">
        <v>100</v>
      </c>
      <c r="M38" s="14" t="s">
        <v>101</v>
      </c>
      <c r="N38" s="14" t="s">
        <v>102</v>
      </c>
      <c r="O38" s="20"/>
    </row>
  </sheetData>
  <mergeCells count="38">
    <mergeCell ref="D28:K28"/>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C10:E10"/>
    <mergeCell ref="F10:J10"/>
    <mergeCell ref="D5:K5"/>
    <mergeCell ref="E6:K6"/>
    <mergeCell ref="D7:K7"/>
    <mergeCell ref="C9:E9"/>
    <mergeCell ref="F9:J9"/>
  </mergeCells>
  <dataValidations count="1">
    <dataValidation type="list" allowBlank="1" showInputMessage="1" showErrorMessage="1" promptTitle="Choose Result" sqref="D6 K25 K10:K20">
      <formula1>TestResult</formula1>
    </dataValidation>
  </dataValidations>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4"/>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36</v>
      </c>
      <c r="E4" s="25" t="s">
        <v>25</v>
      </c>
      <c r="F4" s="25" t="s">
        <v>16</v>
      </c>
      <c r="G4" s="25" t="s">
        <v>24</v>
      </c>
      <c r="H4" s="25" t="s">
        <v>62</v>
      </c>
      <c r="I4" s="25"/>
      <c r="J4" s="25" t="s">
        <v>62</v>
      </c>
      <c r="K4" s="37">
        <v>42153</v>
      </c>
    </row>
    <row r="5" spans="2:12" x14ac:dyDescent="0.25">
      <c r="C5" s="7" t="s">
        <v>517</v>
      </c>
      <c r="D5" s="82" t="s">
        <v>561</v>
      </c>
      <c r="E5" s="82"/>
      <c r="F5" s="82"/>
      <c r="G5" s="82"/>
      <c r="H5" s="82"/>
      <c r="I5" s="82"/>
      <c r="J5" s="82"/>
      <c r="K5" s="82"/>
    </row>
    <row r="6" spans="2:12" x14ac:dyDescent="0.25">
      <c r="C6" s="7" t="s">
        <v>467</v>
      </c>
      <c r="D6" s="12" t="s">
        <v>519</v>
      </c>
      <c r="E6" s="76" t="s">
        <v>609</v>
      </c>
      <c r="F6" s="77"/>
      <c r="G6" s="77"/>
      <c r="H6" s="77"/>
      <c r="I6" s="77"/>
      <c r="J6" s="77"/>
      <c r="K6" s="78"/>
    </row>
    <row r="7" spans="2:12" x14ac:dyDescent="0.25">
      <c r="C7" s="7" t="s">
        <v>9</v>
      </c>
      <c r="D7" s="82" t="s">
        <v>204</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48.75" customHeight="1" x14ac:dyDescent="0.25">
      <c r="B10" s="21">
        <v>1</v>
      </c>
      <c r="C10" s="79" t="s">
        <v>244</v>
      </c>
      <c r="D10" s="80"/>
      <c r="E10" s="81"/>
      <c r="F10" s="79" t="s">
        <v>245</v>
      </c>
      <c r="G10" s="77"/>
      <c r="H10" s="77"/>
      <c r="I10" s="77"/>
      <c r="J10" s="78"/>
      <c r="K10" s="12" t="s">
        <v>519</v>
      </c>
      <c r="L10" s="12"/>
    </row>
    <row r="11" spans="2:12" ht="34.5" customHeight="1" x14ac:dyDescent="0.25">
      <c r="B11" s="21">
        <v>2</v>
      </c>
      <c r="C11" s="79" t="s">
        <v>65</v>
      </c>
      <c r="D11" s="80"/>
      <c r="E11" s="81"/>
      <c r="F11" s="79" t="s">
        <v>66</v>
      </c>
      <c r="G11" s="77"/>
      <c r="H11" s="77"/>
      <c r="I11" s="77"/>
      <c r="J11" s="78"/>
      <c r="K11" s="12" t="s">
        <v>519</v>
      </c>
      <c r="L11" s="12"/>
    </row>
    <row r="12" spans="2:12" x14ac:dyDescent="0.25">
      <c r="B12" s="21">
        <v>3</v>
      </c>
      <c r="C12" s="79" t="s">
        <v>67</v>
      </c>
      <c r="D12" s="80"/>
      <c r="E12" s="81"/>
      <c r="F12" s="79" t="s">
        <v>68</v>
      </c>
      <c r="G12" s="80"/>
      <c r="H12" s="80"/>
      <c r="I12" s="80"/>
      <c r="J12" s="81"/>
      <c r="K12" s="12" t="s">
        <v>519</v>
      </c>
      <c r="L12" s="12"/>
    </row>
    <row r="13" spans="2:12" x14ac:dyDescent="0.25">
      <c r="B13" s="21">
        <v>4</v>
      </c>
      <c r="C13" s="79" t="s">
        <v>69</v>
      </c>
      <c r="D13" s="80"/>
      <c r="E13" s="81"/>
      <c r="F13" s="79" t="s">
        <v>70</v>
      </c>
      <c r="G13" s="80"/>
      <c r="H13" s="80"/>
      <c r="I13" s="80"/>
      <c r="J13" s="81"/>
      <c r="K13" s="12" t="s">
        <v>519</v>
      </c>
      <c r="L13" s="12"/>
    </row>
    <row r="14" spans="2:12" ht="45.75" customHeight="1" x14ac:dyDescent="0.25">
      <c r="B14" s="21">
        <v>5</v>
      </c>
      <c r="C14" s="79" t="s">
        <v>72</v>
      </c>
      <c r="D14" s="80"/>
      <c r="E14" s="81"/>
      <c r="F14" s="79" t="s">
        <v>246</v>
      </c>
      <c r="G14" s="80"/>
      <c r="H14" s="80"/>
      <c r="I14" s="80"/>
      <c r="J14" s="81"/>
      <c r="K14" s="12" t="s">
        <v>519</v>
      </c>
      <c r="L14" s="12"/>
    </row>
    <row r="15" spans="2:12" ht="27" customHeight="1" x14ac:dyDescent="0.25">
      <c r="B15" s="21">
        <v>6</v>
      </c>
      <c r="C15" s="76" t="s">
        <v>78</v>
      </c>
      <c r="D15" s="77"/>
      <c r="E15" s="78"/>
      <c r="F15" s="79" t="s">
        <v>247</v>
      </c>
      <c r="G15" s="80"/>
      <c r="H15" s="80"/>
      <c r="I15" s="80"/>
      <c r="J15" s="81"/>
      <c r="K15" s="12" t="s">
        <v>519</v>
      </c>
      <c r="L15" s="12"/>
    </row>
    <row r="16" spans="2:12" x14ac:dyDescent="0.25">
      <c r="B16" s="21"/>
      <c r="C16" s="79"/>
      <c r="D16" s="80"/>
      <c r="E16" s="81"/>
      <c r="F16" s="79"/>
      <c r="G16" s="80"/>
      <c r="H16" s="80"/>
      <c r="I16" s="80"/>
      <c r="J16" s="81"/>
      <c r="K16" s="12"/>
      <c r="L16" s="12"/>
    </row>
    <row r="17" spans="2:15"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2"/>
      <c r="C19" s="84"/>
      <c r="D19" s="80"/>
      <c r="E19" s="81"/>
      <c r="F19" s="84"/>
      <c r="G19" s="80"/>
      <c r="H19" s="80"/>
      <c r="I19" s="80"/>
      <c r="J19" s="81"/>
      <c r="K19" s="25"/>
      <c r="L19" s="25"/>
    </row>
    <row r="20" spans="2:15" x14ac:dyDescent="0.25">
      <c r="B20" s="22"/>
      <c r="C20" s="76"/>
      <c r="D20" s="77"/>
      <c r="E20" s="78"/>
      <c r="F20" s="84"/>
      <c r="G20" s="80"/>
      <c r="H20" s="80"/>
      <c r="I20" s="80"/>
      <c r="J20" s="81"/>
      <c r="K20" s="12"/>
      <c r="L20" s="25"/>
    </row>
    <row r="23" spans="2:15" x14ac:dyDescent="0.25">
      <c r="C23" s="7" t="s">
        <v>15</v>
      </c>
      <c r="D23" s="82" t="s">
        <v>104</v>
      </c>
      <c r="E23" s="82"/>
      <c r="F23" s="82"/>
      <c r="G23" s="82"/>
      <c r="H23" s="82"/>
      <c r="I23" s="82"/>
      <c r="J23" s="82"/>
      <c r="K23" s="82"/>
    </row>
    <row r="25" spans="2:15" x14ac:dyDescent="0.25">
      <c r="L25" s="29"/>
      <c r="M25" s="29"/>
      <c r="N25" s="29"/>
      <c r="O25" s="29"/>
    </row>
    <row r="26" spans="2:15" x14ac:dyDescent="0.25">
      <c r="L26" s="23"/>
      <c r="M26" s="23"/>
      <c r="N26" s="23"/>
      <c r="O26" s="24"/>
    </row>
    <row r="27" spans="2:15" x14ac:dyDescent="0.2">
      <c r="L27" s="24"/>
      <c r="M27" s="24"/>
      <c r="N27" s="24"/>
      <c r="O27" s="24"/>
    </row>
    <row r="28" spans="2:15" x14ac:dyDescent="0.2">
      <c r="L28" s="24"/>
      <c r="M28" s="24"/>
      <c r="N28" s="24"/>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5">
      <c r="L34" s="29"/>
      <c r="M34" s="29"/>
      <c r="N34" s="29"/>
      <c r="O34" s="29"/>
    </row>
  </sheetData>
  <mergeCells count="28">
    <mergeCell ref="D5:K5"/>
    <mergeCell ref="D7:K7"/>
    <mergeCell ref="C9:E9"/>
    <mergeCell ref="F9:J9"/>
    <mergeCell ref="C10:E10"/>
    <mergeCell ref="F10:J10"/>
    <mergeCell ref="E6:K6"/>
    <mergeCell ref="C13:E13"/>
    <mergeCell ref="F13:J13"/>
    <mergeCell ref="C14:E14"/>
    <mergeCell ref="F14:J14"/>
    <mergeCell ref="C11:E11"/>
    <mergeCell ref="F11:J11"/>
    <mergeCell ref="C12:E12"/>
    <mergeCell ref="F12:J12"/>
    <mergeCell ref="C15:E15"/>
    <mergeCell ref="F15:J15"/>
    <mergeCell ref="C16:E16"/>
    <mergeCell ref="F16:J16"/>
    <mergeCell ref="C17:E17"/>
    <mergeCell ref="F17:J17"/>
    <mergeCell ref="D23:K23"/>
    <mergeCell ref="C18:E18"/>
    <mergeCell ref="F18:J18"/>
    <mergeCell ref="C19:E19"/>
    <mergeCell ref="F19:J19"/>
    <mergeCell ref="C20:E20"/>
    <mergeCell ref="F20:J20"/>
  </mergeCells>
  <dataValidations count="1">
    <dataValidation type="list" allowBlank="1" showInputMessage="1" showErrorMessage="1" promptTitle="Choose Result" sqref="K20 D6 K10:K15">
      <formula1>TestResult</formula1>
    </dataValidation>
  </dataValidations>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4"/>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37</v>
      </c>
      <c r="E4" s="25" t="s">
        <v>26</v>
      </c>
      <c r="F4" s="25" t="s">
        <v>16</v>
      </c>
      <c r="G4" s="25" t="s">
        <v>24</v>
      </c>
      <c r="H4" s="25" t="s">
        <v>62</v>
      </c>
      <c r="I4" s="25"/>
      <c r="J4" s="25" t="s">
        <v>62</v>
      </c>
      <c r="K4" s="37">
        <v>42153</v>
      </c>
    </row>
    <row r="5" spans="2:12" x14ac:dyDescent="0.25">
      <c r="C5" s="7" t="s">
        <v>517</v>
      </c>
      <c r="D5" s="82" t="s">
        <v>535</v>
      </c>
      <c r="E5" s="82"/>
      <c r="F5" s="82"/>
      <c r="G5" s="82"/>
      <c r="H5" s="82"/>
      <c r="I5" s="82"/>
      <c r="J5" s="82"/>
      <c r="K5" s="82"/>
    </row>
    <row r="6" spans="2:12" x14ac:dyDescent="0.25">
      <c r="C6" s="7" t="s">
        <v>467</v>
      </c>
      <c r="D6" s="12" t="s">
        <v>519</v>
      </c>
      <c r="E6" s="76" t="s">
        <v>609</v>
      </c>
      <c r="F6" s="77"/>
      <c r="G6" s="77"/>
      <c r="H6" s="77"/>
      <c r="I6" s="77"/>
      <c r="J6" s="77"/>
      <c r="K6" s="78"/>
    </row>
    <row r="7" spans="2:12" x14ac:dyDescent="0.25">
      <c r="C7" s="7" t="s">
        <v>9</v>
      </c>
      <c r="D7" s="82" t="s">
        <v>204</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24" customHeight="1" x14ac:dyDescent="0.25">
      <c r="B10" s="21">
        <v>1</v>
      </c>
      <c r="C10" s="79" t="s">
        <v>244</v>
      </c>
      <c r="D10" s="80"/>
      <c r="E10" s="81"/>
      <c r="F10" s="79" t="s">
        <v>248</v>
      </c>
      <c r="G10" s="77"/>
      <c r="H10" s="77"/>
      <c r="I10" s="77"/>
      <c r="J10" s="78"/>
      <c r="K10" s="12" t="s">
        <v>519</v>
      </c>
      <c r="L10" s="12"/>
    </row>
    <row r="11" spans="2:12" ht="34.5" customHeight="1" x14ac:dyDescent="0.25">
      <c r="B11" s="21">
        <v>2</v>
      </c>
      <c r="C11" s="79" t="s">
        <v>249</v>
      </c>
      <c r="D11" s="80"/>
      <c r="E11" s="81"/>
      <c r="F11" s="79" t="s">
        <v>250</v>
      </c>
      <c r="G11" s="77"/>
      <c r="H11" s="77"/>
      <c r="I11" s="77"/>
      <c r="J11" s="78"/>
      <c r="K11" s="12" t="s">
        <v>519</v>
      </c>
      <c r="L11" s="12"/>
    </row>
    <row r="12" spans="2:12" ht="15" customHeight="1" x14ac:dyDescent="0.25">
      <c r="B12" s="21">
        <v>3</v>
      </c>
      <c r="C12" s="79" t="s">
        <v>251</v>
      </c>
      <c r="D12" s="80"/>
      <c r="E12" s="81"/>
      <c r="F12" s="79" t="s">
        <v>252</v>
      </c>
      <c r="G12" s="77"/>
      <c r="H12" s="77"/>
      <c r="I12" s="77"/>
      <c r="J12" s="78"/>
      <c r="K12" s="12" t="s">
        <v>519</v>
      </c>
      <c r="L12" s="12"/>
    </row>
    <row r="13" spans="2:12" ht="34.5" customHeight="1" x14ac:dyDescent="0.25">
      <c r="B13" s="21">
        <v>4</v>
      </c>
      <c r="C13" s="79" t="s">
        <v>255</v>
      </c>
      <c r="D13" s="80"/>
      <c r="E13" s="81"/>
      <c r="F13" s="79" t="s">
        <v>253</v>
      </c>
      <c r="G13" s="80"/>
      <c r="H13" s="80"/>
      <c r="I13" s="80"/>
      <c r="J13" s="81"/>
      <c r="K13" s="12" t="s">
        <v>519</v>
      </c>
      <c r="L13" s="12"/>
    </row>
    <row r="14" spans="2:12" ht="45.75" customHeight="1" x14ac:dyDescent="0.25">
      <c r="B14" s="21">
        <v>5</v>
      </c>
      <c r="C14" s="79" t="s">
        <v>254</v>
      </c>
      <c r="D14" s="80"/>
      <c r="E14" s="81"/>
      <c r="F14" s="79" t="s">
        <v>253</v>
      </c>
      <c r="G14" s="80"/>
      <c r="H14" s="80"/>
      <c r="I14" s="80"/>
      <c r="J14" s="81"/>
      <c r="K14" s="12" t="s">
        <v>519</v>
      </c>
      <c r="L14" s="12"/>
    </row>
    <row r="15" spans="2:12" ht="27" customHeight="1" x14ac:dyDescent="0.25">
      <c r="B15" s="21">
        <v>6</v>
      </c>
      <c r="C15" s="76" t="s">
        <v>256</v>
      </c>
      <c r="D15" s="77"/>
      <c r="E15" s="78"/>
      <c r="F15" s="79" t="s">
        <v>257</v>
      </c>
      <c r="G15" s="80"/>
      <c r="H15" s="80"/>
      <c r="I15" s="80"/>
      <c r="J15" s="81"/>
      <c r="K15" s="12" t="s">
        <v>519</v>
      </c>
      <c r="L15" s="12"/>
    </row>
    <row r="16" spans="2:12" ht="27" customHeight="1" x14ac:dyDescent="0.25">
      <c r="B16" s="21">
        <v>7</v>
      </c>
      <c r="C16" s="76" t="s">
        <v>258</v>
      </c>
      <c r="D16" s="77"/>
      <c r="E16" s="78"/>
      <c r="F16" s="79" t="s">
        <v>259</v>
      </c>
      <c r="G16" s="80"/>
      <c r="H16" s="80"/>
      <c r="I16" s="80"/>
      <c r="J16" s="81"/>
      <c r="K16" s="12" t="s">
        <v>519</v>
      </c>
      <c r="L16" s="12"/>
    </row>
    <row r="17" spans="2:15" x14ac:dyDescent="0.25">
      <c r="B17" s="21">
        <v>8</v>
      </c>
      <c r="C17" s="76" t="s">
        <v>260</v>
      </c>
      <c r="D17" s="77"/>
      <c r="E17" s="78"/>
      <c r="F17" s="79" t="s">
        <v>261</v>
      </c>
      <c r="G17" s="80"/>
      <c r="H17" s="80"/>
      <c r="I17" s="80"/>
      <c r="J17" s="81"/>
      <c r="K17" s="12" t="s">
        <v>519</v>
      </c>
      <c r="L17" s="12"/>
    </row>
    <row r="18" spans="2:15" ht="28.5" customHeight="1" x14ac:dyDescent="0.25">
      <c r="B18" s="21">
        <v>9</v>
      </c>
      <c r="C18" s="76" t="s">
        <v>262</v>
      </c>
      <c r="D18" s="77"/>
      <c r="E18" s="78"/>
      <c r="F18" s="79" t="s">
        <v>263</v>
      </c>
      <c r="G18" s="80"/>
      <c r="H18" s="80"/>
      <c r="I18" s="80"/>
      <c r="J18" s="81"/>
      <c r="K18" s="12" t="s">
        <v>519</v>
      </c>
      <c r="L18" s="12"/>
    </row>
    <row r="19" spans="2:15" x14ac:dyDescent="0.25">
      <c r="B19" s="21">
        <v>10</v>
      </c>
      <c r="C19" s="76" t="s">
        <v>260</v>
      </c>
      <c r="D19" s="77"/>
      <c r="E19" s="78"/>
      <c r="F19" s="79" t="s">
        <v>261</v>
      </c>
      <c r="G19" s="80"/>
      <c r="H19" s="80"/>
      <c r="I19" s="80"/>
      <c r="J19" s="81"/>
      <c r="K19" s="12" t="s">
        <v>519</v>
      </c>
      <c r="L19" s="25"/>
    </row>
    <row r="20" spans="2:15" x14ac:dyDescent="0.25">
      <c r="B20" s="21">
        <v>11</v>
      </c>
      <c r="C20" s="76" t="s">
        <v>264</v>
      </c>
      <c r="D20" s="77"/>
      <c r="E20" s="78"/>
      <c r="F20" s="84" t="s">
        <v>265</v>
      </c>
      <c r="G20" s="80"/>
      <c r="H20" s="80"/>
      <c r="I20" s="80"/>
      <c r="J20" s="81"/>
      <c r="K20" s="12" t="s">
        <v>519</v>
      </c>
      <c r="L20" s="25"/>
    </row>
    <row r="21" spans="2:15" x14ac:dyDescent="0.25">
      <c r="B21" s="21">
        <v>12</v>
      </c>
      <c r="C21" s="76" t="s">
        <v>266</v>
      </c>
      <c r="D21" s="77"/>
      <c r="E21" s="78"/>
      <c r="F21" s="79" t="s">
        <v>267</v>
      </c>
      <c r="G21" s="80"/>
      <c r="H21" s="80"/>
      <c r="I21" s="80"/>
      <c r="J21" s="81"/>
      <c r="K21" s="12" t="s">
        <v>519</v>
      </c>
      <c r="L21" s="25"/>
    </row>
    <row r="23" spans="2:15" x14ac:dyDescent="0.25">
      <c r="C23" s="7" t="s">
        <v>15</v>
      </c>
      <c r="D23" s="82" t="s">
        <v>104</v>
      </c>
      <c r="E23" s="82"/>
      <c r="F23" s="82"/>
      <c r="G23" s="82"/>
      <c r="H23" s="82"/>
      <c r="I23" s="82"/>
      <c r="J23" s="82"/>
      <c r="K23" s="82"/>
    </row>
    <row r="25" spans="2:15" x14ac:dyDescent="0.25">
      <c r="L25" s="29"/>
      <c r="M25" s="29"/>
      <c r="N25" s="29"/>
      <c r="O25" s="29"/>
    </row>
    <row r="26" spans="2:15" x14ac:dyDescent="0.25">
      <c r="L26" s="23"/>
      <c r="M26" s="23"/>
      <c r="N26" s="23"/>
      <c r="O26" s="24"/>
    </row>
    <row r="27" spans="2:15" x14ac:dyDescent="0.2">
      <c r="L27" s="24"/>
      <c r="M27" s="24"/>
      <c r="N27" s="24"/>
      <c r="O27" s="24"/>
    </row>
    <row r="28" spans="2:15" x14ac:dyDescent="0.2">
      <c r="L28" s="24"/>
      <c r="M28" s="24"/>
      <c r="N28" s="24"/>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5">
      <c r="L34" s="29"/>
      <c r="M34" s="29"/>
      <c r="N34" s="29"/>
      <c r="O34" s="29"/>
    </row>
  </sheetData>
  <mergeCells count="30">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D23:K23"/>
    <mergeCell ref="C21:E21"/>
    <mergeCell ref="F21:J21"/>
  </mergeCells>
  <dataValidations count="1">
    <dataValidation type="list" allowBlank="1" showInputMessage="1" showErrorMessage="1" promptTitle="Choose Result" sqref="D6 K10:K21">
      <formula1>TestResult</formula1>
    </dataValidation>
  </dataValidations>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E6" sqref="E6:K6"/>
    </sheetView>
  </sheetViews>
  <sheetFormatPr defaultRowHeight="15" x14ac:dyDescent="0.25"/>
  <cols>
    <col min="1" max="1" width="9.140625" style="27"/>
    <col min="2" max="2" width="5.5703125" style="27" customWidth="1"/>
    <col min="3" max="3" width="16.5703125" style="27" customWidth="1"/>
    <col min="4" max="4" width="12.7109375" style="27" customWidth="1"/>
    <col min="5" max="5" width="15.7109375" style="27" customWidth="1"/>
    <col min="6" max="6" width="8.5703125" style="27" customWidth="1"/>
    <col min="7" max="7" width="10.85546875" style="27" customWidth="1"/>
    <col min="8" max="8" width="11.85546875" style="27" customWidth="1"/>
    <col min="9" max="10" width="12.42578125" style="27" customWidth="1"/>
    <col min="11" max="11" width="11.7109375" style="27" customWidth="1"/>
    <col min="12" max="12" width="47.85546875" style="27" customWidth="1"/>
    <col min="13" max="16384" width="9.140625" style="27"/>
  </cols>
  <sheetData>
    <row r="3" spans="2:12" x14ac:dyDescent="0.25">
      <c r="C3" s="28" t="s">
        <v>0</v>
      </c>
      <c r="D3" s="28" t="s">
        <v>1</v>
      </c>
      <c r="E3" s="28" t="s">
        <v>2</v>
      </c>
      <c r="F3" s="28" t="s">
        <v>3</v>
      </c>
      <c r="G3" s="28" t="s">
        <v>4</v>
      </c>
      <c r="H3" s="28" t="s">
        <v>5</v>
      </c>
      <c r="I3" s="28" t="s">
        <v>6</v>
      </c>
      <c r="J3" s="28" t="s">
        <v>7</v>
      </c>
      <c r="K3" s="28" t="s">
        <v>8</v>
      </c>
    </row>
    <row r="4" spans="2:12" ht="20.25" customHeight="1" x14ac:dyDescent="0.25">
      <c r="C4" s="5" t="s">
        <v>16</v>
      </c>
      <c r="D4" s="5" t="s">
        <v>32</v>
      </c>
      <c r="E4" s="5" t="s">
        <v>46</v>
      </c>
      <c r="F4" s="5" t="s">
        <v>16</v>
      </c>
      <c r="G4" s="5" t="s">
        <v>21</v>
      </c>
      <c r="H4" s="5" t="s">
        <v>62</v>
      </c>
      <c r="I4" s="5"/>
      <c r="J4" s="5" t="s">
        <v>62</v>
      </c>
      <c r="K4" s="37">
        <v>42154</v>
      </c>
    </row>
    <row r="5" spans="2:12" x14ac:dyDescent="0.25">
      <c r="C5" s="28" t="s">
        <v>517</v>
      </c>
      <c r="D5" s="89" t="s">
        <v>562</v>
      </c>
      <c r="E5" s="89"/>
      <c r="F5" s="89"/>
      <c r="G5" s="89"/>
      <c r="H5" s="89"/>
      <c r="I5" s="89"/>
      <c r="J5" s="89"/>
      <c r="K5" s="89"/>
    </row>
    <row r="6" spans="2:12" s="6" customFormat="1" x14ac:dyDescent="0.25">
      <c r="C6" s="7" t="s">
        <v>467</v>
      </c>
      <c r="D6" s="12" t="s">
        <v>519</v>
      </c>
      <c r="E6" s="76" t="s">
        <v>609</v>
      </c>
      <c r="F6" s="77"/>
      <c r="G6" s="77"/>
      <c r="H6" s="77"/>
      <c r="I6" s="77"/>
      <c r="J6" s="77"/>
      <c r="K6" s="78"/>
    </row>
    <row r="7" spans="2:12" x14ac:dyDescent="0.25">
      <c r="C7" s="28" t="s">
        <v>9</v>
      </c>
      <c r="D7" s="82" t="s">
        <v>191</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x14ac:dyDescent="0.25">
      <c r="B10" s="21">
        <v>1</v>
      </c>
      <c r="C10" s="79" t="s">
        <v>193</v>
      </c>
      <c r="D10" s="80"/>
      <c r="E10" s="81"/>
      <c r="F10" s="79" t="s">
        <v>194</v>
      </c>
      <c r="G10" s="77"/>
      <c r="H10" s="77"/>
      <c r="I10" s="77"/>
      <c r="J10" s="78"/>
      <c r="K10" s="12" t="s">
        <v>519</v>
      </c>
      <c r="L10" s="12"/>
    </row>
    <row r="11" spans="2:12" ht="32.25" customHeight="1" x14ac:dyDescent="0.25">
      <c r="B11" s="21">
        <v>2</v>
      </c>
      <c r="C11" s="79" t="s">
        <v>196</v>
      </c>
      <c r="D11" s="80"/>
      <c r="E11" s="81"/>
      <c r="F11" s="79"/>
      <c r="G11" s="77"/>
      <c r="H11" s="77"/>
      <c r="I11" s="77"/>
      <c r="J11" s="78"/>
      <c r="K11" s="12" t="s">
        <v>519</v>
      </c>
      <c r="L11" s="12"/>
    </row>
    <row r="12" spans="2:12" ht="38.25" customHeight="1" x14ac:dyDescent="0.25">
      <c r="B12" s="21">
        <v>3</v>
      </c>
      <c r="C12" s="79" t="s">
        <v>197</v>
      </c>
      <c r="D12" s="80"/>
      <c r="E12" s="81"/>
      <c r="F12" s="79" t="s">
        <v>198</v>
      </c>
      <c r="G12" s="77"/>
      <c r="H12" s="77"/>
      <c r="I12" s="77"/>
      <c r="J12" s="78"/>
      <c r="K12" s="12" t="s">
        <v>519</v>
      </c>
      <c r="L12" s="12"/>
    </row>
    <row r="13" spans="2:12" ht="15" customHeight="1" x14ac:dyDescent="0.25">
      <c r="B13" s="21">
        <v>4</v>
      </c>
      <c r="C13" s="79" t="s">
        <v>193</v>
      </c>
      <c r="D13" s="80"/>
      <c r="E13" s="81"/>
      <c r="F13" s="79" t="s">
        <v>194</v>
      </c>
      <c r="G13" s="77"/>
      <c r="H13" s="77"/>
      <c r="I13" s="77"/>
      <c r="J13" s="78"/>
      <c r="K13" s="12" t="s">
        <v>519</v>
      </c>
      <c r="L13" s="12"/>
    </row>
    <row r="14" spans="2:12" ht="34.5" customHeight="1" x14ac:dyDescent="0.25">
      <c r="B14" s="21">
        <v>5</v>
      </c>
      <c r="C14" s="79" t="s">
        <v>196</v>
      </c>
      <c r="D14" s="80"/>
      <c r="E14" s="81"/>
      <c r="F14" s="79"/>
      <c r="G14" s="77"/>
      <c r="H14" s="77"/>
      <c r="I14" s="77"/>
      <c r="J14" s="78"/>
      <c r="K14" s="12" t="s">
        <v>519</v>
      </c>
      <c r="L14" s="12"/>
    </row>
    <row r="15" spans="2:12" ht="34.5" customHeight="1" x14ac:dyDescent="0.25">
      <c r="B15" s="21">
        <v>6</v>
      </c>
      <c r="C15" s="79" t="s">
        <v>201</v>
      </c>
      <c r="D15" s="80"/>
      <c r="E15" s="81"/>
      <c r="F15" s="79" t="s">
        <v>118</v>
      </c>
      <c r="G15" s="77"/>
      <c r="H15" s="77"/>
      <c r="I15" s="77"/>
      <c r="J15" s="78"/>
      <c r="K15" s="12" t="s">
        <v>519</v>
      </c>
      <c r="L15" s="12"/>
    </row>
    <row r="16" spans="2:12" ht="34.5" customHeight="1" x14ac:dyDescent="0.25">
      <c r="B16" s="21">
        <v>7</v>
      </c>
      <c r="C16" s="79" t="s">
        <v>202</v>
      </c>
      <c r="D16" s="80"/>
      <c r="E16" s="81"/>
      <c r="F16" s="79"/>
      <c r="G16" s="77"/>
      <c r="H16" s="77"/>
      <c r="I16" s="77"/>
      <c r="J16" s="78"/>
      <c r="K16" s="12" t="s">
        <v>519</v>
      </c>
      <c r="L16" s="12"/>
    </row>
    <row r="17" spans="2:12" ht="53.25" customHeight="1" x14ac:dyDescent="0.25">
      <c r="B17" s="21">
        <v>8</v>
      </c>
      <c r="C17" s="79" t="s">
        <v>200</v>
      </c>
      <c r="D17" s="80"/>
      <c r="E17" s="81"/>
      <c r="F17" s="79" t="s">
        <v>199</v>
      </c>
      <c r="G17" s="77"/>
      <c r="H17" s="77"/>
      <c r="I17" s="77"/>
      <c r="J17" s="78"/>
      <c r="K17" s="12" t="s">
        <v>519</v>
      </c>
      <c r="L17" s="12"/>
    </row>
    <row r="18" spans="2:12" x14ac:dyDescent="0.25">
      <c r="B18" s="21"/>
      <c r="C18" s="79"/>
      <c r="D18" s="80"/>
      <c r="E18" s="81"/>
      <c r="F18" s="79"/>
      <c r="G18" s="80"/>
      <c r="H18" s="80"/>
      <c r="I18" s="80"/>
      <c r="J18" s="81"/>
      <c r="K18" s="12"/>
      <c r="L18" s="12"/>
    </row>
    <row r="19" spans="2:12" x14ac:dyDescent="0.25">
      <c r="B19" s="21"/>
      <c r="C19" s="79"/>
      <c r="D19" s="80"/>
      <c r="E19" s="81"/>
      <c r="F19" s="79"/>
      <c r="G19" s="80"/>
      <c r="H19" s="80"/>
      <c r="I19" s="80"/>
      <c r="J19" s="81"/>
      <c r="K19" s="12"/>
      <c r="L19" s="12"/>
    </row>
    <row r="20" spans="2:12" x14ac:dyDescent="0.25">
      <c r="B20" s="21"/>
      <c r="C20" s="79"/>
      <c r="D20" s="80"/>
      <c r="E20" s="81"/>
      <c r="F20" s="79"/>
      <c r="G20" s="80"/>
      <c r="H20" s="80"/>
      <c r="I20" s="80"/>
      <c r="J20" s="81"/>
      <c r="K20" s="12"/>
      <c r="L20" s="12"/>
    </row>
    <row r="21" spans="2:12" x14ac:dyDescent="0.25">
      <c r="B21" s="21"/>
      <c r="C21" s="79"/>
      <c r="D21" s="80"/>
      <c r="E21" s="81"/>
      <c r="F21" s="79"/>
      <c r="G21" s="80"/>
      <c r="H21" s="80"/>
      <c r="I21" s="80"/>
      <c r="J21" s="81"/>
      <c r="K21" s="12"/>
      <c r="L21" s="12"/>
    </row>
    <row r="22" spans="2:12" x14ac:dyDescent="0.25">
      <c r="B22" s="21"/>
      <c r="C22" s="79"/>
      <c r="D22" s="80"/>
      <c r="E22" s="81"/>
      <c r="F22" s="79"/>
      <c r="G22" s="80"/>
      <c r="H22" s="80"/>
      <c r="I22" s="80"/>
      <c r="J22" s="81"/>
      <c r="K22" s="12"/>
      <c r="L22" s="12"/>
    </row>
    <row r="23" spans="2:12" x14ac:dyDescent="0.25">
      <c r="B23" s="21"/>
      <c r="C23" s="76"/>
      <c r="D23" s="77"/>
      <c r="E23" s="78"/>
      <c r="F23" s="79"/>
      <c r="G23" s="80"/>
      <c r="H23" s="80"/>
      <c r="I23" s="80"/>
      <c r="J23" s="81"/>
      <c r="K23" s="12"/>
      <c r="L23" s="12"/>
    </row>
    <row r="24" spans="2:12" x14ac:dyDescent="0.25">
      <c r="B24" s="21"/>
      <c r="C24" s="79"/>
      <c r="D24" s="80"/>
      <c r="E24" s="81"/>
      <c r="F24" s="79"/>
      <c r="G24" s="80"/>
      <c r="H24" s="80"/>
      <c r="I24" s="80"/>
      <c r="J24" s="81"/>
      <c r="K24" s="12"/>
      <c r="L24" s="12"/>
    </row>
    <row r="25" spans="2:12" x14ac:dyDescent="0.25">
      <c r="B25" s="21"/>
      <c r="C25" s="79"/>
      <c r="D25" s="80"/>
      <c r="E25" s="81"/>
      <c r="F25" s="79"/>
      <c r="G25" s="80"/>
      <c r="H25" s="80"/>
      <c r="I25" s="80"/>
      <c r="J25" s="81"/>
      <c r="K25" s="12"/>
      <c r="L25" s="12"/>
    </row>
    <row r="26" spans="2:12" x14ac:dyDescent="0.25">
      <c r="B26" s="22"/>
      <c r="C26" s="84"/>
      <c r="D26" s="80"/>
      <c r="E26" s="81"/>
      <c r="F26" s="84"/>
      <c r="G26" s="80"/>
      <c r="H26" s="80"/>
      <c r="I26" s="80"/>
      <c r="J26" s="81"/>
      <c r="K26" s="25"/>
      <c r="L26" s="25"/>
    </row>
    <row r="27" spans="2:12" x14ac:dyDescent="0.25">
      <c r="B27" s="22"/>
      <c r="C27" s="76"/>
      <c r="D27" s="77"/>
      <c r="E27" s="78"/>
      <c r="F27" s="84"/>
      <c r="G27" s="80"/>
      <c r="H27" s="80"/>
      <c r="I27" s="80"/>
      <c r="J27" s="81"/>
      <c r="K27" s="12"/>
      <c r="L27" s="25"/>
    </row>
  </sheetData>
  <mergeCells count="41">
    <mergeCell ref="C14:E14"/>
    <mergeCell ref="F14:J14"/>
    <mergeCell ref="C17:E17"/>
    <mergeCell ref="C11:E11"/>
    <mergeCell ref="F11:J11"/>
    <mergeCell ref="C12:E12"/>
    <mergeCell ref="F12:J12"/>
    <mergeCell ref="C13:E13"/>
    <mergeCell ref="F13:J13"/>
    <mergeCell ref="D5:K5"/>
    <mergeCell ref="D7:K7"/>
    <mergeCell ref="C9:E9"/>
    <mergeCell ref="F9:J9"/>
    <mergeCell ref="C10:E10"/>
    <mergeCell ref="F10:J10"/>
    <mergeCell ref="E6:K6"/>
    <mergeCell ref="C21:E21"/>
    <mergeCell ref="F21:J21"/>
    <mergeCell ref="C22:E22"/>
    <mergeCell ref="F22:J22"/>
    <mergeCell ref="F17:J17"/>
    <mergeCell ref="C18:E18"/>
    <mergeCell ref="F18:J18"/>
    <mergeCell ref="C19:E19"/>
    <mergeCell ref="F19:J19"/>
    <mergeCell ref="C26:E26"/>
    <mergeCell ref="F26:J26"/>
    <mergeCell ref="C27:E27"/>
    <mergeCell ref="F27:J27"/>
    <mergeCell ref="C15:E15"/>
    <mergeCell ref="F15:J15"/>
    <mergeCell ref="C16:E16"/>
    <mergeCell ref="F16:J16"/>
    <mergeCell ref="C23:E23"/>
    <mergeCell ref="F23:J23"/>
    <mergeCell ref="C24:E24"/>
    <mergeCell ref="F24:J24"/>
    <mergeCell ref="C25:E25"/>
    <mergeCell ref="F25:J25"/>
    <mergeCell ref="C20:E20"/>
    <mergeCell ref="F20:J20"/>
  </mergeCells>
  <dataValidations count="1">
    <dataValidation type="list" allowBlank="1" showInputMessage="1" showErrorMessage="1" promptTitle="Choose Result" sqref="D6 K27 K10:K22">
      <formula1>TestResult</formula1>
    </dataValidation>
  </dataValidations>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38</v>
      </c>
      <c r="E4" s="25" t="s">
        <v>203</v>
      </c>
      <c r="F4" s="25" t="s">
        <v>16</v>
      </c>
      <c r="G4" s="25" t="s">
        <v>27</v>
      </c>
      <c r="H4" s="25" t="s">
        <v>62</v>
      </c>
      <c r="I4" s="25"/>
      <c r="J4" s="25" t="s">
        <v>62</v>
      </c>
      <c r="K4" s="37">
        <v>42154</v>
      </c>
    </row>
    <row r="5" spans="2:12" x14ac:dyDescent="0.25">
      <c r="C5" s="7" t="s">
        <v>517</v>
      </c>
      <c r="D5" s="82" t="s">
        <v>536</v>
      </c>
      <c r="E5" s="82"/>
      <c r="F5" s="82"/>
      <c r="G5" s="82"/>
      <c r="H5" s="82"/>
      <c r="I5" s="82"/>
      <c r="J5" s="82"/>
      <c r="K5" s="82"/>
    </row>
    <row r="6" spans="2:12" ht="15" customHeight="1" x14ac:dyDescent="0.25">
      <c r="C6" s="7" t="s">
        <v>467</v>
      </c>
      <c r="D6" s="12" t="s">
        <v>519</v>
      </c>
      <c r="E6" s="76" t="s">
        <v>609</v>
      </c>
      <c r="F6" s="77"/>
      <c r="G6" s="77"/>
      <c r="H6" s="77"/>
      <c r="I6" s="77"/>
      <c r="J6" s="77"/>
      <c r="K6" s="78"/>
    </row>
    <row r="7" spans="2:12" x14ac:dyDescent="0.25">
      <c r="C7" s="7" t="s">
        <v>9</v>
      </c>
      <c r="D7" s="82" t="s">
        <v>204</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0" customHeight="1" x14ac:dyDescent="0.25">
      <c r="B10" s="21">
        <v>1</v>
      </c>
      <c r="C10" s="79" t="s">
        <v>205</v>
      </c>
      <c r="D10" s="80"/>
      <c r="E10" s="81"/>
      <c r="F10" s="79" t="s">
        <v>206</v>
      </c>
      <c r="G10" s="77"/>
      <c r="H10" s="77"/>
      <c r="I10" s="77"/>
      <c r="J10" s="78"/>
      <c r="K10" s="12" t="s">
        <v>519</v>
      </c>
      <c r="L10" s="12"/>
    </row>
    <row r="11" spans="2:12" ht="49.5" customHeight="1" x14ac:dyDescent="0.25">
      <c r="B11" s="21">
        <v>2</v>
      </c>
      <c r="C11" s="79" t="s">
        <v>207</v>
      </c>
      <c r="D11" s="80"/>
      <c r="E11" s="81"/>
      <c r="F11" s="79" t="s">
        <v>208</v>
      </c>
      <c r="G11" s="77"/>
      <c r="H11" s="77"/>
      <c r="I11" s="77"/>
      <c r="J11" s="78"/>
      <c r="K11" s="12" t="s">
        <v>519</v>
      </c>
      <c r="L11" s="61" t="s">
        <v>591</v>
      </c>
    </row>
    <row r="12" spans="2:12" ht="34.5" customHeight="1" x14ac:dyDescent="0.25">
      <c r="B12" s="21">
        <v>3</v>
      </c>
      <c r="C12" s="79" t="s">
        <v>209</v>
      </c>
      <c r="D12" s="80"/>
      <c r="E12" s="81"/>
      <c r="F12" s="79" t="s">
        <v>208</v>
      </c>
      <c r="G12" s="77"/>
      <c r="H12" s="77"/>
      <c r="I12" s="77"/>
      <c r="J12" s="78"/>
      <c r="K12" s="12" t="s">
        <v>519</v>
      </c>
      <c r="L12" s="12"/>
    </row>
    <row r="13" spans="2:12" ht="36.75" customHeight="1" x14ac:dyDescent="0.25">
      <c r="B13" s="21"/>
      <c r="C13" s="79"/>
      <c r="D13" s="80"/>
      <c r="E13" s="81"/>
      <c r="F13" s="79"/>
      <c r="G13" s="80"/>
      <c r="H13" s="80"/>
      <c r="I13" s="80"/>
      <c r="J13" s="81"/>
      <c r="K13" s="12"/>
      <c r="L13" s="12"/>
    </row>
    <row r="14" spans="2:12" ht="36" customHeight="1" x14ac:dyDescent="0.25">
      <c r="B14" s="21"/>
      <c r="C14" s="79"/>
      <c r="D14" s="80"/>
      <c r="E14" s="81"/>
      <c r="F14" s="79"/>
      <c r="G14" s="80"/>
      <c r="H14" s="80"/>
      <c r="I14" s="80"/>
      <c r="J14" s="81"/>
      <c r="K14" s="12"/>
      <c r="L14" s="12"/>
    </row>
    <row r="15" spans="2:12" ht="67.5" customHeight="1" x14ac:dyDescent="0.25">
      <c r="B15" s="21"/>
      <c r="C15" s="79"/>
      <c r="D15" s="80"/>
      <c r="E15" s="81"/>
      <c r="F15" s="79"/>
      <c r="G15" s="80"/>
      <c r="H15" s="80"/>
      <c r="I15" s="80"/>
      <c r="J15" s="81"/>
      <c r="K15" s="12"/>
      <c r="L15" s="12"/>
    </row>
    <row r="16" spans="2:12" ht="45.75" customHeight="1" x14ac:dyDescent="0.25">
      <c r="B16" s="21"/>
      <c r="C16" s="79"/>
      <c r="D16" s="80"/>
      <c r="E16" s="81"/>
      <c r="F16" s="79"/>
      <c r="G16" s="80"/>
      <c r="H16" s="80"/>
      <c r="I16" s="80"/>
      <c r="J16" s="81"/>
      <c r="K16" s="12"/>
      <c r="L16" s="12"/>
    </row>
    <row r="17" spans="2:15" ht="27"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210</v>
      </c>
      <c r="E4" s="25" t="s">
        <v>45</v>
      </c>
      <c r="F4" s="25" t="s">
        <v>16</v>
      </c>
      <c r="G4" s="25" t="s">
        <v>211</v>
      </c>
      <c r="H4" s="25" t="s">
        <v>62</v>
      </c>
      <c r="I4" s="25"/>
      <c r="J4" s="25" t="s">
        <v>62</v>
      </c>
      <c r="K4" s="37">
        <v>42154</v>
      </c>
    </row>
    <row r="5" spans="2:12" x14ac:dyDescent="0.25">
      <c r="C5" s="7" t="s">
        <v>517</v>
      </c>
      <c r="D5" s="82" t="s">
        <v>542</v>
      </c>
      <c r="E5" s="82"/>
      <c r="F5" s="82"/>
      <c r="G5" s="82"/>
      <c r="H5" s="82"/>
      <c r="I5" s="82"/>
      <c r="J5" s="82"/>
      <c r="K5" s="82"/>
    </row>
    <row r="6" spans="2:12" x14ac:dyDescent="0.25">
      <c r="C6" s="7" t="s">
        <v>467</v>
      </c>
      <c r="D6" s="12" t="s">
        <v>519</v>
      </c>
      <c r="E6" s="76" t="s">
        <v>609</v>
      </c>
      <c r="F6" s="77"/>
      <c r="G6" s="77"/>
      <c r="H6" s="77"/>
      <c r="I6" s="77"/>
      <c r="J6" s="77"/>
      <c r="K6" s="78"/>
    </row>
    <row r="7" spans="2:12" x14ac:dyDescent="0.25">
      <c r="C7" s="7" t="s">
        <v>9</v>
      </c>
      <c r="D7" s="82" t="s">
        <v>204</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0" customHeight="1" x14ac:dyDescent="0.25">
      <c r="B10" s="21">
        <v>1</v>
      </c>
      <c r="C10" s="79" t="s">
        <v>212</v>
      </c>
      <c r="D10" s="80"/>
      <c r="E10" s="81"/>
      <c r="F10" s="79" t="s">
        <v>213</v>
      </c>
      <c r="G10" s="77"/>
      <c r="H10" s="77"/>
      <c r="I10" s="77"/>
      <c r="J10" s="78"/>
      <c r="K10" s="12" t="s">
        <v>519</v>
      </c>
      <c r="L10" s="12"/>
    </row>
    <row r="11" spans="2:12" ht="49.5" customHeight="1" x14ac:dyDescent="0.25">
      <c r="B11" s="21">
        <v>2</v>
      </c>
      <c r="C11" s="79" t="s">
        <v>214</v>
      </c>
      <c r="D11" s="80"/>
      <c r="E11" s="81"/>
      <c r="F11" s="79" t="s">
        <v>215</v>
      </c>
      <c r="G11" s="77"/>
      <c r="H11" s="77"/>
      <c r="I11" s="77"/>
      <c r="J11" s="78"/>
      <c r="K11" s="12" t="s">
        <v>519</v>
      </c>
      <c r="L11" s="12"/>
    </row>
    <row r="12" spans="2:12" ht="49.5" customHeight="1" x14ac:dyDescent="0.25">
      <c r="B12" s="21">
        <v>3</v>
      </c>
      <c r="C12" s="79" t="s">
        <v>217</v>
      </c>
      <c r="D12" s="80"/>
      <c r="E12" s="81"/>
      <c r="F12" s="79" t="s">
        <v>216</v>
      </c>
      <c r="G12" s="77"/>
      <c r="H12" s="77"/>
      <c r="I12" s="77"/>
      <c r="J12" s="78"/>
      <c r="K12" s="12" t="s">
        <v>519</v>
      </c>
      <c r="L12" s="61" t="s">
        <v>592</v>
      </c>
    </row>
    <row r="13" spans="2:12" ht="36.75" customHeight="1" x14ac:dyDescent="0.25">
      <c r="B13" s="21"/>
      <c r="C13" s="79"/>
      <c r="D13" s="80"/>
      <c r="E13" s="81"/>
      <c r="F13" s="79"/>
      <c r="G13" s="80"/>
      <c r="H13" s="80"/>
      <c r="I13" s="80"/>
      <c r="J13" s="81"/>
      <c r="K13" s="12"/>
      <c r="L13" s="12"/>
    </row>
    <row r="14" spans="2:12" ht="36" customHeight="1" x14ac:dyDescent="0.25">
      <c r="B14" s="21"/>
      <c r="C14" s="79"/>
      <c r="D14" s="80"/>
      <c r="E14" s="81"/>
      <c r="F14" s="79"/>
      <c r="G14" s="80"/>
      <c r="H14" s="80"/>
      <c r="I14" s="80"/>
      <c r="J14" s="81"/>
      <c r="K14" s="12"/>
      <c r="L14" s="12"/>
    </row>
    <row r="15" spans="2:12" ht="67.5" customHeight="1" x14ac:dyDescent="0.25">
      <c r="B15" s="21"/>
      <c r="C15" s="79"/>
      <c r="D15" s="80"/>
      <c r="E15" s="81"/>
      <c r="F15" s="79"/>
      <c r="G15" s="80"/>
      <c r="H15" s="80"/>
      <c r="I15" s="80"/>
      <c r="J15" s="81"/>
      <c r="K15" s="12"/>
      <c r="L15" s="12"/>
    </row>
    <row r="16" spans="2:12" ht="45.75" customHeight="1" x14ac:dyDescent="0.25">
      <c r="B16" s="21"/>
      <c r="C16" s="79"/>
      <c r="D16" s="80"/>
      <c r="E16" s="81"/>
      <c r="F16" s="79"/>
      <c r="G16" s="80"/>
      <c r="H16" s="80"/>
      <c r="I16" s="80"/>
      <c r="J16" s="81"/>
      <c r="K16" s="12"/>
      <c r="L16" s="12"/>
    </row>
    <row r="17" spans="2:15" ht="27"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218</v>
      </c>
      <c r="E4" s="25" t="s">
        <v>219</v>
      </c>
      <c r="F4" s="25" t="s">
        <v>16</v>
      </c>
      <c r="G4" s="25" t="s">
        <v>211</v>
      </c>
      <c r="H4" s="25" t="s">
        <v>62</v>
      </c>
      <c r="I4" s="25"/>
      <c r="J4" s="25" t="s">
        <v>62</v>
      </c>
      <c r="K4" s="37">
        <v>42154</v>
      </c>
    </row>
    <row r="5" spans="2:12" x14ac:dyDescent="0.25">
      <c r="C5" s="7" t="s">
        <v>517</v>
      </c>
      <c r="D5" s="82" t="s">
        <v>543</v>
      </c>
      <c r="E5" s="82"/>
      <c r="F5" s="82"/>
      <c r="G5" s="82"/>
      <c r="H5" s="82"/>
      <c r="I5" s="82"/>
      <c r="J5" s="82"/>
      <c r="K5" s="82"/>
    </row>
    <row r="6" spans="2:12" x14ac:dyDescent="0.25">
      <c r="C6" s="7" t="s">
        <v>467</v>
      </c>
      <c r="D6" s="12" t="s">
        <v>519</v>
      </c>
      <c r="E6" s="76" t="s">
        <v>609</v>
      </c>
      <c r="F6" s="77"/>
      <c r="G6" s="77"/>
      <c r="H6" s="77"/>
      <c r="I6" s="77"/>
      <c r="J6" s="77"/>
      <c r="K6" s="78"/>
    </row>
    <row r="7" spans="2:12" x14ac:dyDescent="0.25">
      <c r="C7" s="7" t="s">
        <v>9</v>
      </c>
      <c r="D7" s="82" t="s">
        <v>204</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0" customHeight="1" x14ac:dyDescent="0.25">
      <c r="B10" s="21">
        <v>1</v>
      </c>
      <c r="C10" s="79" t="s">
        <v>220</v>
      </c>
      <c r="D10" s="80"/>
      <c r="E10" s="81"/>
      <c r="F10" s="79" t="s">
        <v>221</v>
      </c>
      <c r="G10" s="77"/>
      <c r="H10" s="77"/>
      <c r="I10" s="77"/>
      <c r="J10" s="78"/>
      <c r="K10" s="12" t="s">
        <v>519</v>
      </c>
      <c r="L10" s="12"/>
    </row>
    <row r="11" spans="2:12" ht="49.5" customHeight="1" x14ac:dyDescent="0.25">
      <c r="B11" s="21">
        <v>2</v>
      </c>
      <c r="C11" s="79" t="s">
        <v>495</v>
      </c>
      <c r="D11" s="80"/>
      <c r="E11" s="81"/>
      <c r="F11" s="79" t="s">
        <v>496</v>
      </c>
      <c r="G11" s="77"/>
      <c r="H11" s="77"/>
      <c r="I11" s="77"/>
      <c r="J11" s="78"/>
      <c r="K11" s="12" t="s">
        <v>519</v>
      </c>
      <c r="L11" s="12"/>
    </row>
    <row r="12" spans="2:12" ht="49.5" customHeight="1" x14ac:dyDescent="0.25">
      <c r="B12" s="21"/>
      <c r="C12" s="79"/>
      <c r="D12" s="80"/>
      <c r="E12" s="81"/>
      <c r="F12" s="79"/>
      <c r="G12" s="77"/>
      <c r="H12" s="77"/>
      <c r="I12" s="77"/>
      <c r="J12" s="78"/>
      <c r="K12" s="12"/>
      <c r="L12" s="12"/>
    </row>
    <row r="13" spans="2:12" ht="36.75" customHeight="1" x14ac:dyDescent="0.25">
      <c r="B13" s="21"/>
      <c r="C13" s="79"/>
      <c r="D13" s="80"/>
      <c r="E13" s="81"/>
      <c r="F13" s="79"/>
      <c r="G13" s="80"/>
      <c r="H13" s="80"/>
      <c r="I13" s="80"/>
      <c r="J13" s="81"/>
      <c r="K13" s="12"/>
      <c r="L13" s="12"/>
    </row>
    <row r="14" spans="2:12" ht="36" customHeight="1" x14ac:dyDescent="0.25">
      <c r="B14" s="21"/>
      <c r="C14" s="79"/>
      <c r="D14" s="80"/>
      <c r="E14" s="81"/>
      <c r="F14" s="79"/>
      <c r="G14" s="80"/>
      <c r="H14" s="80"/>
      <c r="I14" s="80"/>
      <c r="J14" s="81"/>
      <c r="K14" s="12"/>
      <c r="L14" s="12"/>
    </row>
    <row r="15" spans="2:12" ht="67.5" customHeight="1" x14ac:dyDescent="0.25">
      <c r="B15" s="21"/>
      <c r="C15" s="79"/>
      <c r="D15" s="80"/>
      <c r="E15" s="81"/>
      <c r="F15" s="79"/>
      <c r="G15" s="80"/>
      <c r="H15" s="80"/>
      <c r="I15" s="80"/>
      <c r="J15" s="81"/>
      <c r="K15" s="12"/>
      <c r="L15" s="12"/>
    </row>
    <row r="16" spans="2:12" ht="45.75" customHeight="1" x14ac:dyDescent="0.25">
      <c r="B16" s="21"/>
      <c r="C16" s="79"/>
      <c r="D16" s="80"/>
      <c r="E16" s="81"/>
      <c r="F16" s="79"/>
      <c r="G16" s="80"/>
      <c r="H16" s="80"/>
      <c r="I16" s="80"/>
      <c r="J16" s="81"/>
      <c r="K16" s="12"/>
      <c r="L16" s="12"/>
    </row>
    <row r="17" spans="2:15" ht="27"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222</v>
      </c>
      <c r="E4" s="25" t="s">
        <v>223</v>
      </c>
      <c r="F4" s="25" t="s">
        <v>16</v>
      </c>
      <c r="G4" s="25" t="s">
        <v>211</v>
      </c>
      <c r="H4" s="25" t="s">
        <v>62</v>
      </c>
      <c r="I4" s="25"/>
      <c r="J4" s="25" t="s">
        <v>62</v>
      </c>
      <c r="K4" s="37">
        <v>42154</v>
      </c>
    </row>
    <row r="5" spans="2:12" x14ac:dyDescent="0.25">
      <c r="C5" s="7" t="s">
        <v>517</v>
      </c>
      <c r="D5" s="82" t="s">
        <v>544</v>
      </c>
      <c r="E5" s="82"/>
      <c r="F5" s="82"/>
      <c r="G5" s="82"/>
      <c r="H5" s="82"/>
      <c r="I5" s="82"/>
      <c r="J5" s="82"/>
      <c r="K5" s="82"/>
    </row>
    <row r="6" spans="2:12" x14ac:dyDescent="0.25">
      <c r="C6" s="7" t="s">
        <v>467</v>
      </c>
      <c r="D6" s="12" t="s">
        <v>519</v>
      </c>
      <c r="E6" s="76" t="s">
        <v>609</v>
      </c>
      <c r="F6" s="77"/>
      <c r="G6" s="77"/>
      <c r="H6" s="77"/>
      <c r="I6" s="77"/>
      <c r="J6" s="77"/>
      <c r="K6" s="78"/>
    </row>
    <row r="7" spans="2:12" x14ac:dyDescent="0.25">
      <c r="C7" s="7" t="s">
        <v>9</v>
      </c>
      <c r="D7" s="82" t="s">
        <v>204</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0" customHeight="1" x14ac:dyDescent="0.25">
      <c r="B10" s="21">
        <v>1</v>
      </c>
      <c r="C10" s="79" t="s">
        <v>224</v>
      </c>
      <c r="D10" s="80"/>
      <c r="E10" s="81"/>
      <c r="F10" s="79" t="s">
        <v>225</v>
      </c>
      <c r="G10" s="77"/>
      <c r="H10" s="77"/>
      <c r="I10" s="77"/>
      <c r="J10" s="78"/>
      <c r="K10" s="12" t="s">
        <v>519</v>
      </c>
      <c r="L10" s="12"/>
    </row>
    <row r="11" spans="2:12" ht="49.5" customHeight="1" x14ac:dyDescent="0.25">
      <c r="B11" s="21">
        <v>2</v>
      </c>
      <c r="C11" s="79" t="s">
        <v>226</v>
      </c>
      <c r="D11" s="80"/>
      <c r="E11" s="81"/>
      <c r="F11" s="79" t="s">
        <v>227</v>
      </c>
      <c r="G11" s="77"/>
      <c r="H11" s="77"/>
      <c r="I11" s="77"/>
      <c r="J11" s="78"/>
      <c r="K11" s="12" t="s">
        <v>519</v>
      </c>
      <c r="L11" s="12"/>
    </row>
    <row r="12" spans="2:12" ht="49.5" customHeight="1" x14ac:dyDescent="0.25">
      <c r="B12" s="21"/>
      <c r="C12" s="79"/>
      <c r="D12" s="80"/>
      <c r="E12" s="81"/>
      <c r="F12" s="79"/>
      <c r="G12" s="77"/>
      <c r="H12" s="77"/>
      <c r="I12" s="77"/>
      <c r="J12" s="78"/>
      <c r="K12" s="12"/>
      <c r="L12" s="12"/>
    </row>
    <row r="13" spans="2:12" ht="36.75" customHeight="1" x14ac:dyDescent="0.25">
      <c r="B13" s="21"/>
      <c r="C13" s="79"/>
      <c r="D13" s="80"/>
      <c r="E13" s="81"/>
      <c r="F13" s="79"/>
      <c r="G13" s="80"/>
      <c r="H13" s="80"/>
      <c r="I13" s="80"/>
      <c r="J13" s="81"/>
      <c r="K13" s="12"/>
      <c r="L13" s="12"/>
    </row>
    <row r="14" spans="2:12" ht="36" customHeight="1" x14ac:dyDescent="0.25">
      <c r="B14" s="21"/>
      <c r="C14" s="79"/>
      <c r="D14" s="80"/>
      <c r="E14" s="81"/>
      <c r="F14" s="79"/>
      <c r="G14" s="80"/>
      <c r="H14" s="80"/>
      <c r="I14" s="80"/>
      <c r="J14" s="81"/>
      <c r="K14" s="12"/>
      <c r="L14" s="12"/>
    </row>
    <row r="15" spans="2:12" ht="67.5" customHeight="1" x14ac:dyDescent="0.25">
      <c r="B15" s="21"/>
      <c r="C15" s="79"/>
      <c r="D15" s="80"/>
      <c r="E15" s="81"/>
      <c r="F15" s="79"/>
      <c r="G15" s="80"/>
      <c r="H15" s="80"/>
      <c r="I15" s="80"/>
      <c r="J15" s="81"/>
      <c r="K15" s="12"/>
      <c r="L15" s="12"/>
    </row>
    <row r="16" spans="2:12" ht="45.75" customHeight="1" x14ac:dyDescent="0.25">
      <c r="B16" s="21"/>
      <c r="C16" s="79"/>
      <c r="D16" s="80"/>
      <c r="E16" s="81"/>
      <c r="F16" s="79"/>
      <c r="G16" s="80"/>
      <c r="H16" s="80"/>
      <c r="I16" s="80"/>
      <c r="J16" s="81"/>
      <c r="K16" s="12"/>
      <c r="L16" s="12"/>
    </row>
    <row r="17" spans="2:15" ht="27"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33</v>
      </c>
      <c r="E4" s="25" t="s">
        <v>228</v>
      </c>
      <c r="F4" s="25" t="s">
        <v>16</v>
      </c>
      <c r="G4" s="25" t="s">
        <v>229</v>
      </c>
      <c r="H4" s="25" t="s">
        <v>62</v>
      </c>
      <c r="I4" s="25"/>
      <c r="J4" s="25" t="s">
        <v>62</v>
      </c>
      <c r="K4" s="37">
        <v>42154</v>
      </c>
    </row>
    <row r="5" spans="2:12" x14ac:dyDescent="0.25">
      <c r="C5" s="7" t="s">
        <v>517</v>
      </c>
      <c r="D5" s="82" t="s">
        <v>541</v>
      </c>
      <c r="E5" s="82"/>
      <c r="F5" s="82"/>
      <c r="G5" s="82"/>
      <c r="H5" s="82"/>
      <c r="I5" s="82"/>
      <c r="J5" s="82"/>
      <c r="K5" s="82"/>
    </row>
    <row r="6" spans="2:12" ht="15" customHeight="1" x14ac:dyDescent="0.25">
      <c r="C6" s="7" t="s">
        <v>467</v>
      </c>
      <c r="D6" s="12" t="s">
        <v>519</v>
      </c>
      <c r="E6" s="76" t="s">
        <v>609</v>
      </c>
      <c r="F6" s="77"/>
      <c r="G6" s="77"/>
      <c r="H6" s="77"/>
      <c r="I6" s="77"/>
      <c r="J6" s="77"/>
      <c r="K6" s="78"/>
    </row>
    <row r="7" spans="2:12" x14ac:dyDescent="0.25">
      <c r="C7" s="7" t="s">
        <v>9</v>
      </c>
      <c r="D7" s="82" t="s">
        <v>230</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0" customHeight="1" x14ac:dyDescent="0.25">
      <c r="B10" s="21">
        <v>1</v>
      </c>
      <c r="C10" s="79" t="s">
        <v>114</v>
      </c>
      <c r="D10" s="80"/>
      <c r="E10" s="81"/>
      <c r="F10" s="79" t="s">
        <v>141</v>
      </c>
      <c r="G10" s="77"/>
      <c r="H10" s="77"/>
      <c r="I10" s="77"/>
      <c r="J10" s="78"/>
      <c r="K10" s="12" t="s">
        <v>519</v>
      </c>
      <c r="L10" s="12"/>
    </row>
    <row r="11" spans="2:12" ht="49.5" customHeight="1" x14ac:dyDescent="0.25">
      <c r="B11" s="21">
        <v>2</v>
      </c>
      <c r="C11" s="79" t="s">
        <v>231</v>
      </c>
      <c r="D11" s="80"/>
      <c r="E11" s="81"/>
      <c r="F11" s="79" t="s">
        <v>232</v>
      </c>
      <c r="G11" s="77"/>
      <c r="H11" s="77"/>
      <c r="I11" s="77"/>
      <c r="J11" s="78"/>
      <c r="K11" s="12" t="s">
        <v>519</v>
      </c>
      <c r="L11" s="12"/>
    </row>
    <row r="12" spans="2:12" ht="49.5" customHeight="1" x14ac:dyDescent="0.25">
      <c r="B12" s="21">
        <v>3</v>
      </c>
      <c r="C12" s="79" t="s">
        <v>233</v>
      </c>
      <c r="D12" s="80"/>
      <c r="E12" s="81"/>
      <c r="F12" s="79" t="s">
        <v>234</v>
      </c>
      <c r="G12" s="77"/>
      <c r="H12" s="77"/>
      <c r="I12" s="77"/>
      <c r="J12" s="78"/>
      <c r="K12" s="12" t="s">
        <v>519</v>
      </c>
      <c r="L12" s="12"/>
    </row>
    <row r="13" spans="2:12" ht="46.5" customHeight="1" x14ac:dyDescent="0.25">
      <c r="B13" s="21">
        <v>4</v>
      </c>
      <c r="C13" s="79" t="s">
        <v>235</v>
      </c>
      <c r="D13" s="80"/>
      <c r="E13" s="81"/>
      <c r="F13" s="79" t="s">
        <v>236</v>
      </c>
      <c r="G13" s="80"/>
      <c r="H13" s="80"/>
      <c r="I13" s="80"/>
      <c r="J13" s="81"/>
      <c r="K13" s="12" t="s">
        <v>519</v>
      </c>
      <c r="L13" s="12" t="s">
        <v>499</v>
      </c>
    </row>
    <row r="14" spans="2:12" ht="36" customHeight="1" x14ac:dyDescent="0.25">
      <c r="B14" s="21">
        <v>5</v>
      </c>
      <c r="C14" s="79" t="s">
        <v>237</v>
      </c>
      <c r="D14" s="80"/>
      <c r="E14" s="81"/>
      <c r="F14" s="79" t="s">
        <v>238</v>
      </c>
      <c r="G14" s="80"/>
      <c r="H14" s="80"/>
      <c r="I14" s="80"/>
      <c r="J14" s="81"/>
      <c r="K14" s="12" t="s">
        <v>519</v>
      </c>
      <c r="L14" s="12"/>
    </row>
    <row r="15" spans="2:12" ht="42.75" customHeight="1" x14ac:dyDescent="0.25">
      <c r="B15" s="21">
        <v>6</v>
      </c>
      <c r="C15" s="79" t="s">
        <v>239</v>
      </c>
      <c r="D15" s="80"/>
      <c r="E15" s="81"/>
      <c r="F15" s="79" t="s">
        <v>238</v>
      </c>
      <c r="G15" s="80"/>
      <c r="H15" s="80"/>
      <c r="I15" s="80"/>
      <c r="J15" s="81"/>
      <c r="K15" s="12" t="s">
        <v>519</v>
      </c>
      <c r="L15" s="12"/>
    </row>
    <row r="16" spans="2:12" ht="45.75" customHeight="1" x14ac:dyDescent="0.25">
      <c r="B16" s="21"/>
      <c r="C16" s="79"/>
      <c r="D16" s="80"/>
      <c r="E16" s="81"/>
      <c r="F16" s="79"/>
      <c r="G16" s="80"/>
      <c r="H16" s="80"/>
      <c r="I16" s="80"/>
      <c r="J16" s="81"/>
      <c r="K16" s="12"/>
      <c r="L16" s="12"/>
    </row>
    <row r="17" spans="2:15" ht="27"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34</v>
      </c>
      <c r="E4" s="25" t="s">
        <v>22</v>
      </c>
      <c r="F4" s="25" t="s">
        <v>16</v>
      </c>
      <c r="G4" s="25" t="s">
        <v>229</v>
      </c>
      <c r="H4" s="25" t="s">
        <v>62</v>
      </c>
      <c r="I4" s="25"/>
      <c r="J4" s="25" t="s">
        <v>62</v>
      </c>
      <c r="K4" s="37">
        <v>42155</v>
      </c>
    </row>
    <row r="5" spans="2:12" x14ac:dyDescent="0.25">
      <c r="C5" s="7" t="s">
        <v>517</v>
      </c>
      <c r="D5" s="82" t="s">
        <v>539</v>
      </c>
      <c r="E5" s="82"/>
      <c r="F5" s="82"/>
      <c r="G5" s="82"/>
      <c r="H5" s="82"/>
      <c r="I5" s="82"/>
      <c r="J5" s="82"/>
      <c r="K5" s="82"/>
    </row>
    <row r="6" spans="2:12" ht="15" customHeight="1" x14ac:dyDescent="0.25">
      <c r="C6" s="7" t="s">
        <v>467</v>
      </c>
      <c r="D6" s="12" t="s">
        <v>519</v>
      </c>
      <c r="E6" s="76" t="s">
        <v>609</v>
      </c>
      <c r="F6" s="77"/>
      <c r="G6" s="77"/>
      <c r="H6" s="77"/>
      <c r="I6" s="77"/>
      <c r="J6" s="77"/>
      <c r="K6" s="78"/>
    </row>
    <row r="7" spans="2:12" x14ac:dyDescent="0.25">
      <c r="C7" s="7" t="s">
        <v>9</v>
      </c>
      <c r="D7" s="82" t="s">
        <v>230</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0" customHeight="1" x14ac:dyDescent="0.25">
      <c r="B10" s="21">
        <v>1</v>
      </c>
      <c r="C10" s="79" t="s">
        <v>114</v>
      </c>
      <c r="D10" s="80"/>
      <c r="E10" s="81"/>
      <c r="F10" s="79" t="s">
        <v>141</v>
      </c>
      <c r="G10" s="77"/>
      <c r="H10" s="77"/>
      <c r="I10" s="77"/>
      <c r="J10" s="78"/>
      <c r="K10" s="12" t="s">
        <v>519</v>
      </c>
      <c r="L10" s="12"/>
    </row>
    <row r="11" spans="2:12" ht="49.5" customHeight="1" x14ac:dyDescent="0.25">
      <c r="B11" s="21">
        <v>2</v>
      </c>
      <c r="C11" s="79" t="s">
        <v>231</v>
      </c>
      <c r="D11" s="80"/>
      <c r="E11" s="81"/>
      <c r="F11" s="79" t="s">
        <v>232</v>
      </c>
      <c r="G11" s="77"/>
      <c r="H11" s="77"/>
      <c r="I11" s="77"/>
      <c r="J11" s="78"/>
      <c r="K11" s="12" t="s">
        <v>519</v>
      </c>
      <c r="L11" s="12"/>
    </row>
    <row r="12" spans="2:12" ht="49.5" customHeight="1" x14ac:dyDescent="0.25">
      <c r="B12" s="21">
        <v>3</v>
      </c>
      <c r="C12" s="79" t="s">
        <v>240</v>
      </c>
      <c r="D12" s="80"/>
      <c r="E12" s="81"/>
      <c r="F12" s="79" t="s">
        <v>234</v>
      </c>
      <c r="G12" s="77"/>
      <c r="H12" s="77"/>
      <c r="I12" s="77"/>
      <c r="J12" s="78"/>
      <c r="K12" s="12" t="s">
        <v>519</v>
      </c>
      <c r="L12" s="12"/>
    </row>
    <row r="13" spans="2:12" ht="46.5" customHeight="1" x14ac:dyDescent="0.25">
      <c r="B13" s="21">
        <v>4</v>
      </c>
      <c r="C13" s="79" t="s">
        <v>235</v>
      </c>
      <c r="D13" s="80"/>
      <c r="E13" s="81"/>
      <c r="F13" s="79" t="s">
        <v>236</v>
      </c>
      <c r="G13" s="80"/>
      <c r="H13" s="80"/>
      <c r="I13" s="80"/>
      <c r="J13" s="81"/>
      <c r="K13" s="12" t="s">
        <v>519</v>
      </c>
      <c r="L13" s="42" t="s">
        <v>537</v>
      </c>
    </row>
    <row r="14" spans="2:12" ht="36" customHeight="1" x14ac:dyDescent="0.25">
      <c r="B14" s="21">
        <v>5</v>
      </c>
      <c r="C14" s="79" t="s">
        <v>237</v>
      </c>
      <c r="D14" s="80"/>
      <c r="E14" s="81"/>
      <c r="F14" s="79" t="s">
        <v>238</v>
      </c>
      <c r="G14" s="80"/>
      <c r="H14" s="80"/>
      <c r="I14" s="80"/>
      <c r="J14" s="81"/>
      <c r="K14" s="12" t="s">
        <v>519</v>
      </c>
      <c r="L14" s="12"/>
    </row>
    <row r="15" spans="2:12" ht="42.75" customHeight="1" x14ac:dyDescent="0.25">
      <c r="B15" s="21">
        <v>6</v>
      </c>
      <c r="C15" s="79" t="s">
        <v>239</v>
      </c>
      <c r="D15" s="80"/>
      <c r="E15" s="81"/>
      <c r="F15" s="79" t="s">
        <v>238</v>
      </c>
      <c r="G15" s="80"/>
      <c r="H15" s="80"/>
      <c r="I15" s="80"/>
      <c r="J15" s="81"/>
      <c r="K15" s="12" t="s">
        <v>519</v>
      </c>
      <c r="L15" s="12"/>
    </row>
    <row r="16" spans="2:12" ht="45.75" customHeight="1" x14ac:dyDescent="0.25">
      <c r="B16" s="21"/>
      <c r="C16" s="79"/>
      <c r="D16" s="80"/>
      <c r="E16" s="81"/>
      <c r="F16" s="79"/>
      <c r="G16" s="80"/>
      <c r="H16" s="80"/>
      <c r="I16" s="80"/>
      <c r="J16" s="81"/>
      <c r="K16" s="12"/>
      <c r="L16" s="12"/>
    </row>
    <row r="17" spans="2:15" ht="27"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35</v>
      </c>
      <c r="E4" s="25" t="s">
        <v>23</v>
      </c>
      <c r="F4" s="25" t="s">
        <v>16</v>
      </c>
      <c r="G4" s="25" t="s">
        <v>229</v>
      </c>
      <c r="H4" s="25" t="s">
        <v>62</v>
      </c>
      <c r="I4" s="25"/>
      <c r="J4" s="25" t="s">
        <v>62</v>
      </c>
      <c r="K4" s="37">
        <v>42155</v>
      </c>
    </row>
    <row r="5" spans="2:12" x14ac:dyDescent="0.25">
      <c r="C5" s="7" t="s">
        <v>517</v>
      </c>
      <c r="D5" s="82" t="s">
        <v>540</v>
      </c>
      <c r="E5" s="82"/>
      <c r="F5" s="82"/>
      <c r="G5" s="82"/>
      <c r="H5" s="82"/>
      <c r="I5" s="82"/>
      <c r="J5" s="82"/>
      <c r="K5" s="82"/>
    </row>
    <row r="6" spans="2:12" ht="15" customHeight="1" x14ac:dyDescent="0.25">
      <c r="C6" s="7" t="s">
        <v>467</v>
      </c>
      <c r="D6" s="12" t="s">
        <v>519</v>
      </c>
      <c r="E6" s="76" t="s">
        <v>609</v>
      </c>
      <c r="F6" s="77"/>
      <c r="G6" s="77"/>
      <c r="H6" s="77"/>
      <c r="I6" s="77"/>
      <c r="J6" s="77"/>
      <c r="K6" s="78"/>
    </row>
    <row r="7" spans="2:12" x14ac:dyDescent="0.25">
      <c r="C7" s="7" t="s">
        <v>9</v>
      </c>
      <c r="D7" s="82" t="s">
        <v>230</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0" customHeight="1" x14ac:dyDescent="0.25">
      <c r="B10" s="21">
        <v>1</v>
      </c>
      <c r="C10" s="79" t="s">
        <v>114</v>
      </c>
      <c r="D10" s="80"/>
      <c r="E10" s="81"/>
      <c r="F10" s="79" t="s">
        <v>141</v>
      </c>
      <c r="G10" s="77"/>
      <c r="H10" s="77"/>
      <c r="I10" s="77"/>
      <c r="J10" s="78"/>
      <c r="K10" s="12" t="s">
        <v>519</v>
      </c>
      <c r="L10" s="12"/>
    </row>
    <row r="11" spans="2:12" ht="49.5" customHeight="1" x14ac:dyDescent="0.25">
      <c r="B11" s="21">
        <v>2</v>
      </c>
      <c r="C11" s="79" t="s">
        <v>231</v>
      </c>
      <c r="D11" s="80"/>
      <c r="E11" s="81"/>
      <c r="F11" s="79" t="s">
        <v>232</v>
      </c>
      <c r="G11" s="77"/>
      <c r="H11" s="77"/>
      <c r="I11" s="77"/>
      <c r="J11" s="78"/>
      <c r="K11" s="12" t="s">
        <v>519</v>
      </c>
      <c r="L11" s="12"/>
    </row>
    <row r="12" spans="2:12" ht="49.5" customHeight="1" x14ac:dyDescent="0.25">
      <c r="B12" s="21">
        <v>3</v>
      </c>
      <c r="C12" s="79" t="s">
        <v>243</v>
      </c>
      <c r="D12" s="80"/>
      <c r="E12" s="81"/>
      <c r="F12" s="79" t="s">
        <v>234</v>
      </c>
      <c r="G12" s="77"/>
      <c r="H12" s="77"/>
      <c r="I12" s="77"/>
      <c r="J12" s="78"/>
      <c r="K12" s="12" t="s">
        <v>519</v>
      </c>
      <c r="L12" s="12"/>
    </row>
    <row r="13" spans="2:12" ht="46.5" customHeight="1" x14ac:dyDescent="0.25">
      <c r="B13" s="21">
        <v>4</v>
      </c>
      <c r="C13" s="79" t="s">
        <v>235</v>
      </c>
      <c r="D13" s="80"/>
      <c r="E13" s="81"/>
      <c r="F13" s="79" t="s">
        <v>236</v>
      </c>
      <c r="G13" s="80"/>
      <c r="H13" s="80"/>
      <c r="I13" s="80"/>
      <c r="J13" s="81"/>
      <c r="K13" s="12" t="s">
        <v>519</v>
      </c>
      <c r="L13" s="42" t="s">
        <v>499</v>
      </c>
    </row>
    <row r="14" spans="2:12" ht="36" customHeight="1" x14ac:dyDescent="0.25">
      <c r="B14" s="21">
        <v>5</v>
      </c>
      <c r="C14" s="79" t="s">
        <v>241</v>
      </c>
      <c r="D14" s="80"/>
      <c r="E14" s="81"/>
      <c r="F14" s="79" t="s">
        <v>238</v>
      </c>
      <c r="G14" s="80"/>
      <c r="H14" s="80"/>
      <c r="I14" s="80"/>
      <c r="J14" s="81"/>
      <c r="K14" s="12" t="s">
        <v>519</v>
      </c>
      <c r="L14" s="12"/>
    </row>
    <row r="15" spans="2:12" ht="42.75" customHeight="1" x14ac:dyDescent="0.25">
      <c r="B15" s="21">
        <v>6</v>
      </c>
      <c r="C15" s="79" t="s">
        <v>242</v>
      </c>
      <c r="D15" s="80"/>
      <c r="E15" s="81"/>
      <c r="F15" s="79" t="s">
        <v>238</v>
      </c>
      <c r="G15" s="80"/>
      <c r="H15" s="80"/>
      <c r="I15" s="80"/>
      <c r="J15" s="81"/>
      <c r="K15" s="12" t="s">
        <v>519</v>
      </c>
      <c r="L15" s="12"/>
    </row>
    <row r="16" spans="2:12" ht="45.75" customHeight="1" x14ac:dyDescent="0.25">
      <c r="B16" s="21"/>
      <c r="C16" s="79"/>
      <c r="D16" s="80"/>
      <c r="E16" s="81"/>
      <c r="F16" s="79"/>
      <c r="G16" s="80"/>
      <c r="H16" s="80"/>
      <c r="I16" s="80"/>
      <c r="J16" s="81"/>
      <c r="K16" s="12"/>
      <c r="L16" s="12"/>
    </row>
    <row r="17" spans="2:15" ht="27"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362</v>
      </c>
      <c r="E4" s="25" t="s">
        <v>363</v>
      </c>
      <c r="F4" s="25" t="s">
        <v>16</v>
      </c>
      <c r="G4" s="25" t="s">
        <v>229</v>
      </c>
      <c r="H4" s="25" t="s">
        <v>62</v>
      </c>
      <c r="I4" s="25"/>
      <c r="J4" s="25" t="s">
        <v>62</v>
      </c>
      <c r="K4" s="37">
        <v>42155</v>
      </c>
    </row>
    <row r="5" spans="2:12" x14ac:dyDescent="0.25">
      <c r="C5" s="7" t="s">
        <v>517</v>
      </c>
      <c r="D5" s="82" t="s">
        <v>538</v>
      </c>
      <c r="E5" s="82"/>
      <c r="F5" s="82"/>
      <c r="G5" s="82"/>
      <c r="H5" s="82"/>
      <c r="I5" s="82"/>
      <c r="J5" s="82"/>
      <c r="K5" s="82"/>
    </row>
    <row r="6" spans="2:12" ht="15" customHeight="1" x14ac:dyDescent="0.25">
      <c r="C6" s="7" t="s">
        <v>467</v>
      </c>
      <c r="D6" s="12" t="s">
        <v>519</v>
      </c>
      <c r="E6" s="76" t="s">
        <v>609</v>
      </c>
      <c r="F6" s="77"/>
      <c r="G6" s="77"/>
      <c r="H6" s="77"/>
      <c r="I6" s="77"/>
      <c r="J6" s="77"/>
      <c r="K6" s="78"/>
    </row>
    <row r="7" spans="2:12" x14ac:dyDescent="0.25">
      <c r="C7" s="7" t="s">
        <v>9</v>
      </c>
      <c r="D7" s="82" t="s">
        <v>104</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0" customHeight="1" x14ac:dyDescent="0.25">
      <c r="B10" s="21">
        <v>1</v>
      </c>
      <c r="C10" s="79" t="s">
        <v>364</v>
      </c>
      <c r="D10" s="80"/>
      <c r="E10" s="81"/>
      <c r="F10" s="79" t="s">
        <v>365</v>
      </c>
      <c r="G10" s="77"/>
      <c r="H10" s="77"/>
      <c r="I10" s="77"/>
      <c r="J10" s="78"/>
      <c r="K10" s="12" t="s">
        <v>519</v>
      </c>
      <c r="L10" s="12"/>
    </row>
    <row r="11" spans="2:12" ht="43.5" customHeight="1" x14ac:dyDescent="0.25">
      <c r="B11" s="21">
        <v>2</v>
      </c>
      <c r="C11" s="79" t="s">
        <v>367</v>
      </c>
      <c r="D11" s="80"/>
      <c r="E11" s="81"/>
      <c r="F11" s="79" t="s">
        <v>366</v>
      </c>
      <c r="G11" s="77"/>
      <c r="H11" s="77"/>
      <c r="I11" s="77"/>
      <c r="J11" s="78"/>
      <c r="K11" s="12" t="s">
        <v>519</v>
      </c>
      <c r="L11" s="61" t="s">
        <v>593</v>
      </c>
    </row>
    <row r="12" spans="2:12" ht="22.5" customHeight="1" x14ac:dyDescent="0.25">
      <c r="B12" s="21">
        <v>3</v>
      </c>
      <c r="C12" s="79" t="s">
        <v>368</v>
      </c>
      <c r="D12" s="80"/>
      <c r="E12" s="81"/>
      <c r="F12" s="79" t="s">
        <v>369</v>
      </c>
      <c r="G12" s="77"/>
      <c r="H12" s="77"/>
      <c r="I12" s="77"/>
      <c r="J12" s="78"/>
      <c r="K12" s="12" t="s">
        <v>519</v>
      </c>
      <c r="L12" s="12"/>
    </row>
    <row r="13" spans="2:12" ht="46.5" customHeight="1" x14ac:dyDescent="0.25">
      <c r="B13" s="21"/>
      <c r="C13" s="79"/>
      <c r="D13" s="80"/>
      <c r="E13" s="81"/>
      <c r="F13" s="79"/>
      <c r="G13" s="80"/>
      <c r="H13" s="80"/>
      <c r="I13" s="80"/>
      <c r="J13" s="81"/>
      <c r="K13" s="12"/>
      <c r="L13" s="12"/>
    </row>
    <row r="14" spans="2:12" ht="36" customHeight="1" x14ac:dyDescent="0.25">
      <c r="B14" s="21"/>
      <c r="C14" s="79"/>
      <c r="D14" s="80"/>
      <c r="E14" s="81"/>
      <c r="F14" s="79"/>
      <c r="G14" s="80"/>
      <c r="H14" s="80"/>
      <c r="I14" s="80"/>
      <c r="J14" s="81"/>
      <c r="K14" s="12"/>
      <c r="L14" s="12"/>
    </row>
    <row r="15" spans="2:12" ht="42.75" customHeight="1" x14ac:dyDescent="0.25">
      <c r="B15" s="21"/>
      <c r="C15" s="79"/>
      <c r="D15" s="80"/>
      <c r="E15" s="81"/>
      <c r="F15" s="79"/>
      <c r="G15" s="80"/>
      <c r="H15" s="80"/>
      <c r="I15" s="80"/>
      <c r="J15" s="81"/>
      <c r="K15" s="12"/>
      <c r="L15" s="12"/>
    </row>
    <row r="16" spans="2:12" ht="45.75" customHeight="1" x14ac:dyDescent="0.25">
      <c r="B16" s="21"/>
      <c r="C16" s="79"/>
      <c r="D16" s="80"/>
      <c r="E16" s="81"/>
      <c r="F16" s="79"/>
      <c r="G16" s="80"/>
      <c r="H16" s="80"/>
      <c r="I16" s="80"/>
      <c r="J16" s="81"/>
      <c r="K16" s="12"/>
      <c r="L16" s="12"/>
    </row>
    <row r="17" spans="2:15" ht="27"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41</v>
      </c>
      <c r="E4" s="25" t="s">
        <v>305</v>
      </c>
      <c r="F4" s="25" t="s">
        <v>16</v>
      </c>
      <c r="G4" s="25" t="s">
        <v>40</v>
      </c>
      <c r="H4" s="25" t="s">
        <v>62</v>
      </c>
      <c r="I4" s="25"/>
      <c r="J4" s="25" t="s">
        <v>62</v>
      </c>
      <c r="K4" s="37">
        <v>42155</v>
      </c>
    </row>
    <row r="5" spans="2:12" x14ac:dyDescent="0.25">
      <c r="C5" s="7" t="s">
        <v>517</v>
      </c>
      <c r="D5" s="82" t="s">
        <v>545</v>
      </c>
      <c r="E5" s="82"/>
      <c r="F5" s="82"/>
      <c r="G5" s="82"/>
      <c r="H5" s="82"/>
      <c r="I5" s="82"/>
      <c r="J5" s="82"/>
      <c r="K5" s="82"/>
    </row>
    <row r="6" spans="2:12" x14ac:dyDescent="0.25">
      <c r="C6" s="7" t="s">
        <v>467</v>
      </c>
      <c r="D6" s="12" t="s">
        <v>519</v>
      </c>
      <c r="E6" s="76" t="s">
        <v>609</v>
      </c>
      <c r="F6" s="77"/>
      <c r="G6" s="77"/>
      <c r="H6" s="77"/>
      <c r="I6" s="77"/>
      <c r="J6" s="77"/>
      <c r="K6" s="78"/>
    </row>
    <row r="7" spans="2:12" x14ac:dyDescent="0.25">
      <c r="C7" s="7" t="s">
        <v>9</v>
      </c>
      <c r="D7" s="82" t="s">
        <v>306</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9.75" customHeight="1" x14ac:dyDescent="0.25">
      <c r="B10" s="21">
        <v>1</v>
      </c>
      <c r="C10" s="79" t="s">
        <v>307</v>
      </c>
      <c r="D10" s="80"/>
      <c r="E10" s="81"/>
      <c r="F10" s="79" t="s">
        <v>308</v>
      </c>
      <c r="G10" s="77"/>
      <c r="H10" s="77"/>
      <c r="I10" s="77"/>
      <c r="J10" s="78"/>
      <c r="K10" s="12" t="s">
        <v>519</v>
      </c>
      <c r="L10" s="12"/>
    </row>
    <row r="11" spans="2:12" ht="49.5" customHeight="1" x14ac:dyDescent="0.25">
      <c r="B11" s="21">
        <v>2</v>
      </c>
      <c r="C11" s="79" t="s">
        <v>309</v>
      </c>
      <c r="D11" s="80"/>
      <c r="E11" s="81"/>
      <c r="F11" s="79" t="s">
        <v>310</v>
      </c>
      <c r="G11" s="77"/>
      <c r="H11" s="77"/>
      <c r="I11" s="77"/>
      <c r="J11" s="78"/>
      <c r="K11" s="12" t="s">
        <v>519</v>
      </c>
      <c r="L11" s="12"/>
    </row>
    <row r="12" spans="2:12" ht="49.5" customHeight="1" x14ac:dyDescent="0.25">
      <c r="B12" s="21">
        <v>3</v>
      </c>
      <c r="C12" s="79" t="s">
        <v>500</v>
      </c>
      <c r="D12" s="80"/>
      <c r="E12" s="81"/>
      <c r="F12" s="79" t="s">
        <v>311</v>
      </c>
      <c r="G12" s="77"/>
      <c r="H12" s="77"/>
      <c r="I12" s="77"/>
      <c r="J12" s="78"/>
      <c r="K12" s="12" t="s">
        <v>519</v>
      </c>
      <c r="L12" s="12"/>
    </row>
    <row r="13" spans="2:12" ht="17.25" customHeight="1" x14ac:dyDescent="0.25">
      <c r="B13" s="21"/>
      <c r="C13" s="79"/>
      <c r="D13" s="80"/>
      <c r="E13" s="81"/>
      <c r="F13" s="79"/>
      <c r="G13" s="80"/>
      <c r="H13" s="80"/>
      <c r="I13" s="80"/>
      <c r="J13" s="81"/>
      <c r="K13" s="12"/>
      <c r="L13" s="12"/>
    </row>
    <row r="14" spans="2:12" ht="19.5" customHeight="1" x14ac:dyDescent="0.25">
      <c r="B14" s="21"/>
      <c r="C14" s="79"/>
      <c r="D14" s="80"/>
      <c r="E14" s="81"/>
      <c r="F14" s="79"/>
      <c r="G14" s="80"/>
      <c r="H14" s="80"/>
      <c r="I14" s="80"/>
      <c r="J14" s="81"/>
      <c r="K14" s="12"/>
      <c r="L14" s="12"/>
    </row>
    <row r="15" spans="2:12" ht="21" customHeight="1" x14ac:dyDescent="0.25">
      <c r="B15" s="21"/>
      <c r="C15" s="79"/>
      <c r="D15" s="80"/>
      <c r="E15" s="81"/>
      <c r="F15" s="79"/>
      <c r="G15" s="80"/>
      <c r="H15" s="80"/>
      <c r="I15" s="80"/>
      <c r="J15" s="81"/>
      <c r="K15" s="12"/>
      <c r="L15" s="12"/>
    </row>
    <row r="16" spans="2:12" ht="17.25" customHeight="1" x14ac:dyDescent="0.25">
      <c r="B16" s="21"/>
      <c r="C16" s="79"/>
      <c r="D16" s="80"/>
      <c r="E16" s="81"/>
      <c r="F16" s="79"/>
      <c r="G16" s="80"/>
      <c r="H16" s="80"/>
      <c r="I16" s="80"/>
      <c r="J16" s="81"/>
      <c r="K16" s="12"/>
      <c r="L16" s="12"/>
    </row>
    <row r="17" spans="2:15" ht="21.75"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topLeftCell="A4"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42</v>
      </c>
      <c r="E4" s="25" t="s">
        <v>312</v>
      </c>
      <c r="F4" s="25" t="s">
        <v>16</v>
      </c>
      <c r="G4" s="25" t="s">
        <v>40</v>
      </c>
      <c r="H4" s="25" t="s">
        <v>62</v>
      </c>
      <c r="I4" s="25"/>
      <c r="J4" s="25" t="s">
        <v>62</v>
      </c>
      <c r="K4" s="37">
        <v>42155</v>
      </c>
    </row>
    <row r="5" spans="2:12" x14ac:dyDescent="0.25">
      <c r="C5" s="7" t="s">
        <v>517</v>
      </c>
      <c r="D5" s="82" t="s">
        <v>546</v>
      </c>
      <c r="E5" s="82"/>
      <c r="F5" s="82"/>
      <c r="G5" s="82"/>
      <c r="H5" s="82"/>
      <c r="I5" s="82"/>
      <c r="J5" s="82"/>
      <c r="K5" s="82"/>
    </row>
    <row r="6" spans="2:12" x14ac:dyDescent="0.25">
      <c r="C6" s="7" t="s">
        <v>467</v>
      </c>
      <c r="D6" s="12" t="s">
        <v>519</v>
      </c>
      <c r="E6" s="76" t="s">
        <v>608</v>
      </c>
      <c r="F6" s="77"/>
      <c r="G6" s="77"/>
      <c r="H6" s="77"/>
      <c r="I6" s="77"/>
      <c r="J6" s="77"/>
      <c r="K6" s="78"/>
    </row>
    <row r="7" spans="2:12" x14ac:dyDescent="0.25">
      <c r="C7" s="7" t="s">
        <v>9</v>
      </c>
      <c r="D7" s="82" t="s">
        <v>313</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9.75" customHeight="1" x14ac:dyDescent="0.25">
      <c r="B10" s="21">
        <v>1</v>
      </c>
      <c r="C10" s="79" t="s">
        <v>314</v>
      </c>
      <c r="D10" s="80"/>
      <c r="E10" s="81"/>
      <c r="F10" s="79" t="s">
        <v>315</v>
      </c>
      <c r="G10" s="77"/>
      <c r="H10" s="77"/>
      <c r="I10" s="77"/>
      <c r="J10" s="78"/>
      <c r="K10" s="12" t="s">
        <v>519</v>
      </c>
      <c r="L10" s="12"/>
    </row>
    <row r="11" spans="2:12" ht="49.5" customHeight="1" x14ac:dyDescent="0.25">
      <c r="B11" s="21">
        <v>2</v>
      </c>
      <c r="C11" s="79" t="s">
        <v>604</v>
      </c>
      <c r="D11" s="80"/>
      <c r="E11" s="81"/>
      <c r="F11" s="79" t="s">
        <v>316</v>
      </c>
      <c r="G11" s="77"/>
      <c r="H11" s="77"/>
      <c r="I11" s="77"/>
      <c r="J11" s="78"/>
      <c r="K11" s="12" t="s">
        <v>519</v>
      </c>
      <c r="L11" s="12"/>
    </row>
    <row r="12" spans="2:12" ht="24" customHeight="1" x14ac:dyDescent="0.25">
      <c r="B12" s="21">
        <v>3</v>
      </c>
      <c r="C12" s="79" t="s">
        <v>317</v>
      </c>
      <c r="D12" s="80"/>
      <c r="E12" s="81"/>
      <c r="F12" s="79" t="s">
        <v>318</v>
      </c>
      <c r="G12" s="77"/>
      <c r="H12" s="77"/>
      <c r="I12" s="77"/>
      <c r="J12" s="78"/>
      <c r="K12" s="12" t="s">
        <v>519</v>
      </c>
      <c r="L12" s="12"/>
    </row>
    <row r="13" spans="2:12" ht="17.25" customHeight="1" x14ac:dyDescent="0.25">
      <c r="B13" s="21">
        <v>4</v>
      </c>
      <c r="C13" s="79" t="s">
        <v>319</v>
      </c>
      <c r="D13" s="80"/>
      <c r="E13" s="81"/>
      <c r="F13" s="79" t="s">
        <v>320</v>
      </c>
      <c r="G13" s="80"/>
      <c r="H13" s="80"/>
      <c r="I13" s="80"/>
      <c r="J13" s="81"/>
      <c r="K13" s="12" t="s">
        <v>519</v>
      </c>
      <c r="L13" s="12"/>
    </row>
    <row r="14" spans="2:12" ht="19.5" customHeight="1" x14ac:dyDescent="0.25">
      <c r="B14" s="21">
        <v>5</v>
      </c>
      <c r="C14" s="79" t="s">
        <v>321</v>
      </c>
      <c r="D14" s="80"/>
      <c r="E14" s="81"/>
      <c r="F14" s="79" t="s">
        <v>322</v>
      </c>
      <c r="G14" s="80"/>
      <c r="H14" s="80"/>
      <c r="I14" s="80"/>
      <c r="J14" s="81"/>
      <c r="K14" s="12" t="s">
        <v>519</v>
      </c>
      <c r="L14" s="12"/>
    </row>
    <row r="15" spans="2:12" ht="21" customHeight="1" x14ac:dyDescent="0.25">
      <c r="B15" s="21">
        <v>6</v>
      </c>
      <c r="C15" s="79" t="s">
        <v>323</v>
      </c>
      <c r="D15" s="80"/>
      <c r="E15" s="81"/>
      <c r="F15" s="79" t="s">
        <v>318</v>
      </c>
      <c r="G15" s="77"/>
      <c r="H15" s="77"/>
      <c r="I15" s="77"/>
      <c r="J15" s="78"/>
      <c r="K15" s="12" t="s">
        <v>519</v>
      </c>
      <c r="L15" s="12"/>
    </row>
    <row r="16" spans="2:12" ht="34.5" customHeight="1" x14ac:dyDescent="0.25">
      <c r="B16" s="21">
        <v>7</v>
      </c>
      <c r="C16" s="79" t="s">
        <v>324</v>
      </c>
      <c r="D16" s="80"/>
      <c r="E16" s="81"/>
      <c r="F16" s="79" t="s">
        <v>325</v>
      </c>
      <c r="G16" s="80"/>
      <c r="H16" s="80"/>
      <c r="I16" s="80"/>
      <c r="J16" s="81"/>
      <c r="K16" s="12" t="s">
        <v>519</v>
      </c>
      <c r="L16" s="12"/>
    </row>
    <row r="17" spans="2:12" ht="35.25" customHeight="1" x14ac:dyDescent="0.25">
      <c r="B17" s="21">
        <v>8</v>
      </c>
      <c r="C17" s="79" t="s">
        <v>326</v>
      </c>
      <c r="D17" s="80"/>
      <c r="E17" s="81"/>
      <c r="F17" s="79" t="s">
        <v>327</v>
      </c>
      <c r="G17" s="80"/>
      <c r="H17" s="80"/>
      <c r="I17" s="80"/>
      <c r="J17" s="81"/>
      <c r="K17" s="12" t="s">
        <v>519</v>
      </c>
      <c r="L17" s="12"/>
    </row>
    <row r="18" spans="2:12" x14ac:dyDescent="0.25">
      <c r="B18" s="21">
        <v>9</v>
      </c>
      <c r="C18" s="79" t="s">
        <v>195</v>
      </c>
      <c r="D18" s="80"/>
      <c r="E18" s="81"/>
      <c r="F18" s="79" t="s">
        <v>328</v>
      </c>
      <c r="G18" s="80"/>
      <c r="H18" s="80"/>
      <c r="I18" s="80"/>
      <c r="J18" s="81"/>
      <c r="K18" s="12" t="s">
        <v>519</v>
      </c>
      <c r="L18" s="12"/>
    </row>
    <row r="19" spans="2:12" ht="33" customHeight="1" x14ac:dyDescent="0.25">
      <c r="B19" s="21">
        <v>10</v>
      </c>
      <c r="C19" s="79" t="s">
        <v>326</v>
      </c>
      <c r="D19" s="80"/>
      <c r="E19" s="81"/>
      <c r="F19" s="79" t="s">
        <v>327</v>
      </c>
      <c r="G19" s="80"/>
      <c r="H19" s="80"/>
      <c r="I19" s="80"/>
      <c r="J19" s="81"/>
      <c r="K19" s="12" t="s">
        <v>519</v>
      </c>
      <c r="L19" s="12"/>
    </row>
    <row r="20" spans="2:12" ht="33" customHeight="1" x14ac:dyDescent="0.25">
      <c r="B20" s="21">
        <v>11</v>
      </c>
      <c r="C20" s="79" t="s">
        <v>330</v>
      </c>
      <c r="D20" s="80"/>
      <c r="E20" s="81"/>
      <c r="F20" s="79" t="s">
        <v>118</v>
      </c>
      <c r="G20" s="80"/>
      <c r="H20" s="80"/>
      <c r="I20" s="80"/>
      <c r="J20" s="81"/>
      <c r="K20" s="12" t="s">
        <v>519</v>
      </c>
      <c r="L20" s="12"/>
    </row>
    <row r="21" spans="2:12" x14ac:dyDescent="0.25">
      <c r="B21" s="21">
        <v>12</v>
      </c>
      <c r="C21" s="79" t="s">
        <v>331</v>
      </c>
      <c r="D21" s="80"/>
      <c r="E21" s="81"/>
      <c r="F21" s="79" t="s">
        <v>329</v>
      </c>
      <c r="G21" s="80"/>
      <c r="H21" s="80"/>
      <c r="I21" s="80"/>
      <c r="J21" s="81"/>
      <c r="K21" s="12" t="s">
        <v>519</v>
      </c>
      <c r="L21" s="12"/>
    </row>
    <row r="22" spans="2:12" ht="15" customHeight="1" x14ac:dyDescent="0.25">
      <c r="B22" s="22">
        <v>13</v>
      </c>
      <c r="C22" s="79" t="s">
        <v>332</v>
      </c>
      <c r="D22" s="80"/>
      <c r="E22" s="81"/>
      <c r="F22" s="84" t="s">
        <v>333</v>
      </c>
      <c r="G22" s="80"/>
      <c r="H22" s="80"/>
      <c r="I22" s="80"/>
      <c r="J22" s="81"/>
      <c r="K22" s="12" t="s">
        <v>519</v>
      </c>
      <c r="L22" s="25"/>
    </row>
    <row r="23" spans="2:12" x14ac:dyDescent="0.25">
      <c r="B23" s="21">
        <v>14</v>
      </c>
      <c r="C23" s="76" t="s">
        <v>195</v>
      </c>
      <c r="D23" s="77"/>
      <c r="E23" s="78"/>
      <c r="F23" s="84" t="s">
        <v>334</v>
      </c>
      <c r="G23" s="80"/>
      <c r="H23" s="80"/>
      <c r="I23" s="80"/>
      <c r="J23" s="81"/>
      <c r="K23" s="12" t="s">
        <v>519</v>
      </c>
      <c r="L23" s="25"/>
    </row>
    <row r="24" spans="2:12" ht="15" customHeight="1" x14ac:dyDescent="0.25">
      <c r="B24" s="22">
        <v>15</v>
      </c>
      <c r="C24" s="90" t="s">
        <v>332</v>
      </c>
      <c r="D24" s="91"/>
      <c r="E24" s="91"/>
      <c r="F24" s="91" t="s">
        <v>333</v>
      </c>
      <c r="G24" s="91"/>
      <c r="H24" s="91"/>
      <c r="I24" s="91"/>
      <c r="J24" s="91"/>
      <c r="K24" s="12" t="s">
        <v>519</v>
      </c>
      <c r="L24" s="25"/>
    </row>
    <row r="25" spans="2:12" ht="15" customHeight="1" x14ac:dyDescent="0.25">
      <c r="B25" s="21">
        <v>16</v>
      </c>
      <c r="C25" s="90" t="s">
        <v>335</v>
      </c>
      <c r="D25" s="91"/>
      <c r="E25" s="91"/>
      <c r="F25" s="91" t="s">
        <v>336</v>
      </c>
      <c r="G25" s="91"/>
      <c r="H25" s="91"/>
      <c r="I25" s="91"/>
      <c r="J25" s="91"/>
      <c r="K25" s="12" t="s">
        <v>519</v>
      </c>
      <c r="L25" s="25"/>
    </row>
    <row r="26" spans="2:12" ht="47.25" customHeight="1" x14ac:dyDescent="0.25">
      <c r="B26" s="22">
        <v>17</v>
      </c>
      <c r="C26" s="90" t="s">
        <v>516</v>
      </c>
      <c r="D26" s="91"/>
      <c r="E26" s="91"/>
      <c r="F26" s="91" t="s">
        <v>337</v>
      </c>
      <c r="G26" s="91"/>
      <c r="H26" s="91"/>
      <c r="I26" s="91"/>
      <c r="J26" s="91"/>
      <c r="K26" s="12" t="s">
        <v>519</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82" t="s">
        <v>104</v>
      </c>
      <c r="E30" s="82"/>
      <c r="F30" s="82"/>
      <c r="G30" s="82"/>
      <c r="H30" s="82"/>
      <c r="I30" s="82"/>
      <c r="J30" s="82"/>
      <c r="K30" s="82"/>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30:K30"/>
    <mergeCell ref="C20:E20"/>
    <mergeCell ref="F20:J20"/>
    <mergeCell ref="C24:E24"/>
    <mergeCell ref="F24:J24"/>
    <mergeCell ref="C25:E25"/>
    <mergeCell ref="F25:J25"/>
    <mergeCell ref="C26:E26"/>
    <mergeCell ref="F26:J26"/>
    <mergeCell ref="C21:E21"/>
    <mergeCell ref="F21:J21"/>
    <mergeCell ref="C22:E22"/>
    <mergeCell ref="F22:J22"/>
    <mergeCell ref="C23:E23"/>
    <mergeCell ref="F23:J23"/>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43</v>
      </c>
      <c r="E4" s="25" t="s">
        <v>338</v>
      </c>
      <c r="F4" s="25" t="s">
        <v>16</v>
      </c>
      <c r="G4" s="25" t="s">
        <v>40</v>
      </c>
      <c r="H4" s="25" t="s">
        <v>62</v>
      </c>
      <c r="I4" s="25"/>
      <c r="J4" s="25" t="s">
        <v>62</v>
      </c>
      <c r="K4" s="37">
        <v>42155</v>
      </c>
    </row>
    <row r="5" spans="2:12" x14ac:dyDescent="0.25">
      <c r="C5" s="7" t="s">
        <v>517</v>
      </c>
      <c r="D5" s="82" t="s">
        <v>547</v>
      </c>
      <c r="E5" s="82"/>
      <c r="F5" s="82"/>
      <c r="G5" s="82"/>
      <c r="H5" s="82"/>
      <c r="I5" s="82"/>
      <c r="J5" s="82"/>
      <c r="K5" s="82"/>
    </row>
    <row r="6" spans="2:12" x14ac:dyDescent="0.25">
      <c r="C6" s="7" t="s">
        <v>467</v>
      </c>
      <c r="D6" s="12" t="s">
        <v>519</v>
      </c>
      <c r="E6" s="76" t="s">
        <v>608</v>
      </c>
      <c r="F6" s="77"/>
      <c r="G6" s="77"/>
      <c r="H6" s="77"/>
      <c r="I6" s="77"/>
      <c r="J6" s="77"/>
      <c r="K6" s="78"/>
    </row>
    <row r="7" spans="2:12" x14ac:dyDescent="0.25">
      <c r="C7" s="7" t="s">
        <v>9</v>
      </c>
      <c r="D7" s="82" t="s">
        <v>313</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9.75" customHeight="1" x14ac:dyDescent="0.25">
      <c r="B10" s="21">
        <v>1</v>
      </c>
      <c r="C10" s="79" t="s">
        <v>314</v>
      </c>
      <c r="D10" s="80"/>
      <c r="E10" s="81"/>
      <c r="F10" s="79" t="s">
        <v>315</v>
      </c>
      <c r="G10" s="77"/>
      <c r="H10" s="77"/>
      <c r="I10" s="77"/>
      <c r="J10" s="78"/>
      <c r="K10" s="12" t="s">
        <v>519</v>
      </c>
      <c r="L10" s="12"/>
    </row>
    <row r="11" spans="2:12" ht="49.5" customHeight="1" x14ac:dyDescent="0.25">
      <c r="B11" s="21">
        <v>2</v>
      </c>
      <c r="C11" s="79" t="s">
        <v>339</v>
      </c>
      <c r="D11" s="80"/>
      <c r="E11" s="81"/>
      <c r="F11" s="79" t="s">
        <v>340</v>
      </c>
      <c r="G11" s="77"/>
      <c r="H11" s="77"/>
      <c r="I11" s="77"/>
      <c r="J11" s="78"/>
      <c r="K11" s="12" t="s">
        <v>519</v>
      </c>
      <c r="L11" s="12"/>
    </row>
    <row r="12" spans="2:12" ht="24" customHeight="1" x14ac:dyDescent="0.25">
      <c r="B12" s="21">
        <v>3</v>
      </c>
      <c r="C12" s="79" t="s">
        <v>317</v>
      </c>
      <c r="D12" s="80"/>
      <c r="E12" s="81"/>
      <c r="F12" s="79" t="s">
        <v>341</v>
      </c>
      <c r="G12" s="77"/>
      <c r="H12" s="77"/>
      <c r="I12" s="77"/>
      <c r="J12" s="78"/>
      <c r="K12" s="12" t="s">
        <v>519</v>
      </c>
      <c r="L12" s="12"/>
    </row>
    <row r="13" spans="2:12" ht="17.25" customHeight="1" x14ac:dyDescent="0.25">
      <c r="B13" s="21">
        <v>4</v>
      </c>
      <c r="C13" s="79" t="s">
        <v>319</v>
      </c>
      <c r="D13" s="80"/>
      <c r="E13" s="81"/>
      <c r="F13" s="79" t="s">
        <v>320</v>
      </c>
      <c r="G13" s="80"/>
      <c r="H13" s="80"/>
      <c r="I13" s="80"/>
      <c r="J13" s="81"/>
      <c r="K13" s="12" t="s">
        <v>519</v>
      </c>
      <c r="L13" s="12"/>
    </row>
    <row r="14" spans="2:12" ht="19.5" customHeight="1" x14ac:dyDescent="0.25">
      <c r="B14" s="21">
        <v>5</v>
      </c>
      <c r="C14" s="79" t="s">
        <v>321</v>
      </c>
      <c r="D14" s="80"/>
      <c r="E14" s="81"/>
      <c r="F14" s="79" t="s">
        <v>342</v>
      </c>
      <c r="G14" s="80"/>
      <c r="H14" s="80"/>
      <c r="I14" s="80"/>
      <c r="J14" s="81"/>
      <c r="K14" s="12" t="s">
        <v>519</v>
      </c>
      <c r="L14" s="12"/>
    </row>
    <row r="15" spans="2:12" ht="21" customHeight="1" x14ac:dyDescent="0.25">
      <c r="B15" s="21">
        <v>6</v>
      </c>
      <c r="C15" s="79" t="s">
        <v>323</v>
      </c>
      <c r="D15" s="80"/>
      <c r="E15" s="81"/>
      <c r="F15" s="79" t="s">
        <v>341</v>
      </c>
      <c r="G15" s="77"/>
      <c r="H15" s="77"/>
      <c r="I15" s="77"/>
      <c r="J15" s="78"/>
      <c r="K15" s="12" t="s">
        <v>519</v>
      </c>
      <c r="L15" s="12"/>
    </row>
    <row r="16" spans="2:12" ht="34.5" customHeight="1" x14ac:dyDescent="0.25">
      <c r="B16" s="21">
        <v>7</v>
      </c>
      <c r="C16" s="79" t="s">
        <v>324</v>
      </c>
      <c r="D16" s="80"/>
      <c r="E16" s="81"/>
      <c r="F16" s="79" t="s">
        <v>343</v>
      </c>
      <c r="G16" s="80"/>
      <c r="H16" s="80"/>
      <c r="I16" s="80"/>
      <c r="J16" s="81"/>
      <c r="K16" s="12" t="s">
        <v>519</v>
      </c>
      <c r="L16" s="12"/>
    </row>
    <row r="17" spans="2:12" ht="35.25" customHeight="1" x14ac:dyDescent="0.25">
      <c r="B17" s="21">
        <v>8</v>
      </c>
      <c r="C17" s="79" t="s">
        <v>344</v>
      </c>
      <c r="D17" s="80"/>
      <c r="E17" s="81"/>
      <c r="F17" s="79" t="s">
        <v>345</v>
      </c>
      <c r="G17" s="80"/>
      <c r="H17" s="80"/>
      <c r="I17" s="80"/>
      <c r="J17" s="81"/>
      <c r="K17" s="12" t="s">
        <v>519</v>
      </c>
      <c r="L17" s="12"/>
    </row>
    <row r="18" spans="2:12" x14ac:dyDescent="0.25">
      <c r="B18" s="21">
        <v>9</v>
      </c>
      <c r="C18" s="79" t="s">
        <v>195</v>
      </c>
      <c r="D18" s="80"/>
      <c r="E18" s="81"/>
      <c r="F18" s="79" t="s">
        <v>328</v>
      </c>
      <c r="G18" s="80"/>
      <c r="H18" s="80"/>
      <c r="I18" s="80"/>
      <c r="J18" s="81"/>
      <c r="K18" s="12" t="s">
        <v>519</v>
      </c>
      <c r="L18" s="12"/>
    </row>
    <row r="19" spans="2:12" ht="33" customHeight="1" x14ac:dyDescent="0.25">
      <c r="B19" s="21">
        <v>10</v>
      </c>
      <c r="C19" s="79" t="s">
        <v>344</v>
      </c>
      <c r="D19" s="80"/>
      <c r="E19" s="81"/>
      <c r="F19" s="79" t="s">
        <v>345</v>
      </c>
      <c r="G19" s="80"/>
      <c r="H19" s="80"/>
      <c r="I19" s="80"/>
      <c r="J19" s="81"/>
      <c r="K19" s="12" t="s">
        <v>519</v>
      </c>
      <c r="L19" s="12"/>
    </row>
    <row r="20" spans="2:12" ht="33" customHeight="1" x14ac:dyDescent="0.25">
      <c r="B20" s="21">
        <v>11</v>
      </c>
      <c r="C20" s="79" t="s">
        <v>330</v>
      </c>
      <c r="D20" s="80"/>
      <c r="E20" s="81"/>
      <c r="F20" s="79" t="s">
        <v>118</v>
      </c>
      <c r="G20" s="80"/>
      <c r="H20" s="80"/>
      <c r="I20" s="80"/>
      <c r="J20" s="81"/>
      <c r="K20" s="12" t="s">
        <v>519</v>
      </c>
      <c r="L20" s="12"/>
    </row>
    <row r="21" spans="2:12" x14ac:dyDescent="0.25">
      <c r="B21" s="21">
        <v>12</v>
      </c>
      <c r="C21" s="79" t="s">
        <v>331</v>
      </c>
      <c r="D21" s="80"/>
      <c r="E21" s="81"/>
      <c r="F21" s="79" t="s">
        <v>346</v>
      </c>
      <c r="G21" s="80"/>
      <c r="H21" s="80"/>
      <c r="I21" s="80"/>
      <c r="J21" s="81"/>
      <c r="K21" s="12" t="s">
        <v>519</v>
      </c>
      <c r="L21" s="12"/>
    </row>
    <row r="22" spans="2:12" ht="15" customHeight="1" x14ac:dyDescent="0.25">
      <c r="B22" s="22">
        <v>13</v>
      </c>
      <c r="C22" s="79" t="s">
        <v>347</v>
      </c>
      <c r="D22" s="80"/>
      <c r="E22" s="81"/>
      <c r="F22" s="84" t="s">
        <v>333</v>
      </c>
      <c r="G22" s="80"/>
      <c r="H22" s="80"/>
      <c r="I22" s="80"/>
      <c r="J22" s="81"/>
      <c r="K22" s="12" t="s">
        <v>519</v>
      </c>
      <c r="L22" s="25"/>
    </row>
    <row r="23" spans="2:12" x14ac:dyDescent="0.25">
      <c r="B23" s="21">
        <v>14</v>
      </c>
      <c r="C23" s="76" t="s">
        <v>195</v>
      </c>
      <c r="D23" s="77"/>
      <c r="E23" s="78"/>
      <c r="F23" s="84" t="s">
        <v>334</v>
      </c>
      <c r="G23" s="80"/>
      <c r="H23" s="80"/>
      <c r="I23" s="80"/>
      <c r="J23" s="81"/>
      <c r="K23" s="12" t="s">
        <v>519</v>
      </c>
      <c r="L23" s="25"/>
    </row>
    <row r="24" spans="2:12" ht="15" customHeight="1" x14ac:dyDescent="0.25">
      <c r="B24" s="22">
        <v>15</v>
      </c>
      <c r="C24" s="90" t="s">
        <v>347</v>
      </c>
      <c r="D24" s="91"/>
      <c r="E24" s="91"/>
      <c r="F24" s="91" t="s">
        <v>333</v>
      </c>
      <c r="G24" s="91"/>
      <c r="H24" s="91"/>
      <c r="I24" s="91"/>
      <c r="J24" s="91"/>
      <c r="K24" s="12" t="s">
        <v>519</v>
      </c>
      <c r="L24" s="25"/>
    </row>
    <row r="25" spans="2:12" ht="15" customHeight="1" x14ac:dyDescent="0.25">
      <c r="B25" s="21">
        <v>16</v>
      </c>
      <c r="C25" s="90" t="s">
        <v>335</v>
      </c>
      <c r="D25" s="91"/>
      <c r="E25" s="91"/>
      <c r="F25" s="91" t="s">
        <v>348</v>
      </c>
      <c r="G25" s="91"/>
      <c r="H25" s="91"/>
      <c r="I25" s="91"/>
      <c r="J25" s="91"/>
      <c r="K25" s="12" t="s">
        <v>519</v>
      </c>
      <c r="L25" s="25"/>
    </row>
    <row r="26" spans="2:12" ht="63" customHeight="1" x14ac:dyDescent="0.25">
      <c r="B26" s="22">
        <v>17</v>
      </c>
      <c r="C26" s="90" t="s">
        <v>349</v>
      </c>
      <c r="D26" s="91"/>
      <c r="E26" s="91"/>
      <c r="F26" s="91" t="s">
        <v>337</v>
      </c>
      <c r="G26" s="91"/>
      <c r="H26" s="91"/>
      <c r="I26" s="91"/>
      <c r="J26" s="91"/>
      <c r="K26" s="12" t="s">
        <v>519</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82" t="s">
        <v>104</v>
      </c>
      <c r="E30" s="82"/>
      <c r="F30" s="82"/>
      <c r="G30" s="82"/>
      <c r="H30" s="82"/>
      <c r="I30" s="82"/>
      <c r="J30" s="82"/>
      <c r="K30" s="82"/>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C26:E26"/>
    <mergeCell ref="F26:J26"/>
    <mergeCell ref="D30:K30"/>
    <mergeCell ref="C23:E23"/>
    <mergeCell ref="F23:J23"/>
    <mergeCell ref="C24:E24"/>
    <mergeCell ref="F24:J24"/>
    <mergeCell ref="C25:E25"/>
    <mergeCell ref="F25:J25"/>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44</v>
      </c>
      <c r="E4" s="25" t="s">
        <v>350</v>
      </c>
      <c r="F4" s="25" t="s">
        <v>16</v>
      </c>
      <c r="G4" s="25" t="s">
        <v>40</v>
      </c>
      <c r="H4" s="25" t="s">
        <v>62</v>
      </c>
      <c r="I4" s="25"/>
      <c r="J4" s="25" t="s">
        <v>62</v>
      </c>
      <c r="K4" s="37">
        <v>42094</v>
      </c>
    </row>
    <row r="5" spans="2:12" x14ac:dyDescent="0.25">
      <c r="C5" s="7" t="s">
        <v>517</v>
      </c>
      <c r="D5" s="82" t="s">
        <v>548</v>
      </c>
      <c r="E5" s="82"/>
      <c r="F5" s="82"/>
      <c r="G5" s="82"/>
      <c r="H5" s="82"/>
      <c r="I5" s="82"/>
      <c r="J5" s="82"/>
      <c r="K5" s="82"/>
    </row>
    <row r="6" spans="2:12" x14ac:dyDescent="0.25">
      <c r="C6" s="7" t="s">
        <v>467</v>
      </c>
      <c r="D6" s="12" t="s">
        <v>519</v>
      </c>
      <c r="E6" s="76" t="s">
        <v>608</v>
      </c>
      <c r="F6" s="77"/>
      <c r="G6" s="77"/>
      <c r="H6" s="77"/>
      <c r="I6" s="77"/>
      <c r="J6" s="77"/>
      <c r="K6" s="78"/>
    </row>
    <row r="7" spans="2:12" x14ac:dyDescent="0.25">
      <c r="C7" s="7" t="s">
        <v>9</v>
      </c>
      <c r="D7" s="82" t="s">
        <v>313</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9.75" customHeight="1" x14ac:dyDescent="0.25">
      <c r="B10" s="21">
        <v>1</v>
      </c>
      <c r="C10" s="79" t="s">
        <v>314</v>
      </c>
      <c r="D10" s="80"/>
      <c r="E10" s="81"/>
      <c r="F10" s="79" t="s">
        <v>315</v>
      </c>
      <c r="G10" s="77"/>
      <c r="H10" s="77"/>
      <c r="I10" s="77"/>
      <c r="J10" s="78"/>
      <c r="K10" s="12" t="s">
        <v>519</v>
      </c>
      <c r="L10" s="12"/>
    </row>
    <row r="11" spans="2:12" ht="49.5" customHeight="1" x14ac:dyDescent="0.25">
      <c r="B11" s="21">
        <v>2</v>
      </c>
      <c r="C11" s="79" t="s">
        <v>351</v>
      </c>
      <c r="D11" s="80"/>
      <c r="E11" s="81"/>
      <c r="F11" s="79" t="s">
        <v>352</v>
      </c>
      <c r="G11" s="77"/>
      <c r="H11" s="77"/>
      <c r="I11" s="77"/>
      <c r="J11" s="78"/>
      <c r="K11" s="12" t="s">
        <v>519</v>
      </c>
      <c r="L11" s="12"/>
    </row>
    <row r="12" spans="2:12" ht="24" customHeight="1" x14ac:dyDescent="0.25">
      <c r="B12" s="21">
        <v>3</v>
      </c>
      <c r="C12" s="79" t="s">
        <v>317</v>
      </c>
      <c r="D12" s="80"/>
      <c r="E12" s="81"/>
      <c r="F12" s="79" t="s">
        <v>353</v>
      </c>
      <c r="G12" s="77"/>
      <c r="H12" s="77"/>
      <c r="I12" s="77"/>
      <c r="J12" s="78"/>
      <c r="K12" s="12" t="s">
        <v>519</v>
      </c>
      <c r="L12" s="12"/>
    </row>
    <row r="13" spans="2:12" ht="17.25" customHeight="1" x14ac:dyDescent="0.25">
      <c r="B13" s="21">
        <v>4</v>
      </c>
      <c r="C13" s="79" t="s">
        <v>319</v>
      </c>
      <c r="D13" s="80"/>
      <c r="E13" s="81"/>
      <c r="F13" s="79" t="s">
        <v>320</v>
      </c>
      <c r="G13" s="80"/>
      <c r="H13" s="80"/>
      <c r="I13" s="80"/>
      <c r="J13" s="81"/>
      <c r="K13" s="12" t="s">
        <v>519</v>
      </c>
      <c r="L13" s="12"/>
    </row>
    <row r="14" spans="2:12" ht="19.5" customHeight="1" x14ac:dyDescent="0.25">
      <c r="B14" s="21">
        <v>5</v>
      </c>
      <c r="C14" s="79" t="s">
        <v>321</v>
      </c>
      <c r="D14" s="80"/>
      <c r="E14" s="81"/>
      <c r="F14" s="79" t="s">
        <v>354</v>
      </c>
      <c r="G14" s="80"/>
      <c r="H14" s="80"/>
      <c r="I14" s="80"/>
      <c r="J14" s="81"/>
      <c r="K14" s="12" t="s">
        <v>519</v>
      </c>
      <c r="L14" s="12"/>
    </row>
    <row r="15" spans="2:12" ht="21" customHeight="1" x14ac:dyDescent="0.25">
      <c r="B15" s="21">
        <v>6</v>
      </c>
      <c r="C15" s="79" t="s">
        <v>323</v>
      </c>
      <c r="D15" s="80"/>
      <c r="E15" s="81"/>
      <c r="F15" s="79" t="s">
        <v>353</v>
      </c>
      <c r="G15" s="77"/>
      <c r="H15" s="77"/>
      <c r="I15" s="77"/>
      <c r="J15" s="78"/>
      <c r="K15" s="12" t="s">
        <v>519</v>
      </c>
      <c r="L15" s="12"/>
    </row>
    <row r="16" spans="2:12" ht="34.5" customHeight="1" x14ac:dyDescent="0.25">
      <c r="B16" s="21">
        <v>7</v>
      </c>
      <c r="C16" s="79" t="s">
        <v>324</v>
      </c>
      <c r="D16" s="80"/>
      <c r="E16" s="81"/>
      <c r="F16" s="79" t="s">
        <v>355</v>
      </c>
      <c r="G16" s="80"/>
      <c r="H16" s="80"/>
      <c r="I16" s="80"/>
      <c r="J16" s="81"/>
      <c r="K16" s="12" t="s">
        <v>519</v>
      </c>
      <c r="L16" s="12"/>
    </row>
    <row r="17" spans="2:12" ht="35.25" customHeight="1" x14ac:dyDescent="0.25">
      <c r="B17" s="21">
        <v>8</v>
      </c>
      <c r="C17" s="79" t="s">
        <v>356</v>
      </c>
      <c r="D17" s="80"/>
      <c r="E17" s="81"/>
      <c r="F17" s="79" t="s">
        <v>357</v>
      </c>
      <c r="G17" s="80"/>
      <c r="H17" s="80"/>
      <c r="I17" s="80"/>
      <c r="J17" s="81"/>
      <c r="K17" s="12" t="s">
        <v>519</v>
      </c>
      <c r="L17" s="12"/>
    </row>
    <row r="18" spans="2:12" x14ac:dyDescent="0.25">
      <c r="B18" s="21">
        <v>9</v>
      </c>
      <c r="C18" s="79" t="s">
        <v>195</v>
      </c>
      <c r="D18" s="80"/>
      <c r="E18" s="81"/>
      <c r="F18" s="79" t="s">
        <v>328</v>
      </c>
      <c r="G18" s="80"/>
      <c r="H18" s="80"/>
      <c r="I18" s="80"/>
      <c r="J18" s="81"/>
      <c r="K18" s="12" t="s">
        <v>519</v>
      </c>
      <c r="L18" s="12"/>
    </row>
    <row r="19" spans="2:12" ht="33" customHeight="1" x14ac:dyDescent="0.25">
      <c r="B19" s="21">
        <v>10</v>
      </c>
      <c r="C19" s="79" t="s">
        <v>356</v>
      </c>
      <c r="D19" s="80"/>
      <c r="E19" s="81"/>
      <c r="F19" s="79" t="s">
        <v>357</v>
      </c>
      <c r="G19" s="80"/>
      <c r="H19" s="80"/>
      <c r="I19" s="80"/>
      <c r="J19" s="81"/>
      <c r="K19" s="12" t="s">
        <v>519</v>
      </c>
      <c r="L19" s="12"/>
    </row>
    <row r="20" spans="2:12" ht="33" customHeight="1" x14ac:dyDescent="0.25">
      <c r="B20" s="21">
        <v>11</v>
      </c>
      <c r="C20" s="79" t="s">
        <v>330</v>
      </c>
      <c r="D20" s="80"/>
      <c r="E20" s="81"/>
      <c r="F20" s="79" t="s">
        <v>118</v>
      </c>
      <c r="G20" s="80"/>
      <c r="H20" s="80"/>
      <c r="I20" s="80"/>
      <c r="J20" s="81"/>
      <c r="K20" s="12" t="s">
        <v>519</v>
      </c>
      <c r="L20" s="12"/>
    </row>
    <row r="21" spans="2:12" x14ac:dyDescent="0.25">
      <c r="B21" s="21">
        <v>12</v>
      </c>
      <c r="C21" s="79" t="s">
        <v>331</v>
      </c>
      <c r="D21" s="80"/>
      <c r="E21" s="81"/>
      <c r="F21" s="79" t="s">
        <v>358</v>
      </c>
      <c r="G21" s="80"/>
      <c r="H21" s="80"/>
      <c r="I21" s="80"/>
      <c r="J21" s="81"/>
      <c r="K21" s="12" t="s">
        <v>519</v>
      </c>
      <c r="L21" s="12"/>
    </row>
    <row r="22" spans="2:12" ht="15" customHeight="1" x14ac:dyDescent="0.25">
      <c r="B22" s="22">
        <v>13</v>
      </c>
      <c r="C22" s="79" t="s">
        <v>359</v>
      </c>
      <c r="D22" s="80"/>
      <c r="E22" s="81"/>
      <c r="F22" s="84" t="s">
        <v>333</v>
      </c>
      <c r="G22" s="80"/>
      <c r="H22" s="80"/>
      <c r="I22" s="80"/>
      <c r="J22" s="81"/>
      <c r="K22" s="12" t="s">
        <v>519</v>
      </c>
      <c r="L22" s="25"/>
    </row>
    <row r="23" spans="2:12" x14ac:dyDescent="0.25">
      <c r="B23" s="21">
        <v>14</v>
      </c>
      <c r="C23" s="76" t="s">
        <v>195</v>
      </c>
      <c r="D23" s="77"/>
      <c r="E23" s="78"/>
      <c r="F23" s="84" t="s">
        <v>334</v>
      </c>
      <c r="G23" s="80"/>
      <c r="H23" s="80"/>
      <c r="I23" s="80"/>
      <c r="J23" s="81"/>
      <c r="K23" s="12" t="s">
        <v>519</v>
      </c>
      <c r="L23" s="25"/>
    </row>
    <row r="24" spans="2:12" ht="15" customHeight="1" x14ac:dyDescent="0.25">
      <c r="B24" s="22">
        <v>15</v>
      </c>
      <c r="C24" s="90" t="s">
        <v>359</v>
      </c>
      <c r="D24" s="91"/>
      <c r="E24" s="91"/>
      <c r="F24" s="91" t="s">
        <v>333</v>
      </c>
      <c r="G24" s="91"/>
      <c r="H24" s="91"/>
      <c r="I24" s="91"/>
      <c r="J24" s="91"/>
      <c r="K24" s="12" t="s">
        <v>519</v>
      </c>
      <c r="L24" s="25"/>
    </row>
    <row r="25" spans="2:12" ht="15" customHeight="1" x14ac:dyDescent="0.25">
      <c r="B25" s="21">
        <v>16</v>
      </c>
      <c r="C25" s="90" t="s">
        <v>335</v>
      </c>
      <c r="D25" s="91"/>
      <c r="E25" s="91"/>
      <c r="F25" s="91" t="s">
        <v>360</v>
      </c>
      <c r="G25" s="91"/>
      <c r="H25" s="91"/>
      <c r="I25" s="91"/>
      <c r="J25" s="91"/>
      <c r="K25" s="12" t="s">
        <v>519</v>
      </c>
      <c r="L25" s="25"/>
    </row>
    <row r="26" spans="2:12" ht="63" customHeight="1" x14ac:dyDescent="0.25">
      <c r="B26" s="22">
        <v>17</v>
      </c>
      <c r="C26" s="90" t="s">
        <v>361</v>
      </c>
      <c r="D26" s="91"/>
      <c r="E26" s="91"/>
      <c r="F26" s="91" t="s">
        <v>337</v>
      </c>
      <c r="G26" s="91"/>
      <c r="H26" s="91"/>
      <c r="I26" s="91"/>
      <c r="J26" s="91"/>
      <c r="K26" s="12" t="s">
        <v>519</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82" t="s">
        <v>104</v>
      </c>
      <c r="E30" s="82"/>
      <c r="F30" s="82"/>
      <c r="G30" s="82"/>
      <c r="H30" s="82"/>
      <c r="I30" s="82"/>
      <c r="J30" s="82"/>
      <c r="K30" s="82"/>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C26:E26"/>
    <mergeCell ref="F26:J26"/>
    <mergeCell ref="D30:K30"/>
    <mergeCell ref="C23:E23"/>
    <mergeCell ref="F23:J23"/>
    <mergeCell ref="C24:E24"/>
    <mergeCell ref="F24:J24"/>
    <mergeCell ref="C25:E25"/>
    <mergeCell ref="F25:J25"/>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3.4257812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268</v>
      </c>
      <c r="E4" s="25" t="s">
        <v>269</v>
      </c>
      <c r="F4" s="25" t="s">
        <v>16</v>
      </c>
      <c r="G4" s="25" t="s">
        <v>270</v>
      </c>
      <c r="H4" s="25" t="s">
        <v>62</v>
      </c>
      <c r="I4" s="25"/>
      <c r="J4" s="25" t="s">
        <v>62</v>
      </c>
      <c r="K4" s="37">
        <v>42155</v>
      </c>
    </row>
    <row r="5" spans="2:12" x14ac:dyDescent="0.25">
      <c r="C5" s="7" t="s">
        <v>517</v>
      </c>
      <c r="D5" s="82" t="s">
        <v>549</v>
      </c>
      <c r="E5" s="82"/>
      <c r="F5" s="82"/>
      <c r="G5" s="82"/>
      <c r="H5" s="82"/>
      <c r="I5" s="82"/>
      <c r="J5" s="82"/>
      <c r="K5" s="82"/>
    </row>
    <row r="6" spans="2:12" x14ac:dyDescent="0.25">
      <c r="C6" s="7" t="s">
        <v>467</v>
      </c>
      <c r="D6" s="12" t="s">
        <v>519</v>
      </c>
      <c r="E6" s="76" t="s">
        <v>609</v>
      </c>
      <c r="F6" s="77"/>
      <c r="G6" s="77"/>
      <c r="H6" s="77"/>
      <c r="I6" s="77"/>
      <c r="J6" s="77"/>
      <c r="K6" s="78"/>
    </row>
    <row r="7" spans="2:12" x14ac:dyDescent="0.25">
      <c r="C7" s="7" t="s">
        <v>9</v>
      </c>
      <c r="D7" s="82" t="s">
        <v>271</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25.5" customHeight="1" x14ac:dyDescent="0.25">
      <c r="B10" s="21">
        <v>1</v>
      </c>
      <c r="C10" s="79" t="s">
        <v>114</v>
      </c>
      <c r="D10" s="80"/>
      <c r="E10" s="81"/>
      <c r="F10" s="79" t="s">
        <v>141</v>
      </c>
      <c r="G10" s="77"/>
      <c r="H10" s="77"/>
      <c r="I10" s="77"/>
      <c r="J10" s="78"/>
      <c r="K10" s="12" t="s">
        <v>519</v>
      </c>
      <c r="L10" s="12"/>
    </row>
    <row r="11" spans="2:12" ht="24.75" customHeight="1" x14ac:dyDescent="0.25">
      <c r="B11" s="21">
        <v>2</v>
      </c>
      <c r="C11" s="79" t="s">
        <v>272</v>
      </c>
      <c r="D11" s="80"/>
      <c r="E11" s="81"/>
      <c r="F11" s="79" t="s">
        <v>273</v>
      </c>
      <c r="G11" s="77"/>
      <c r="H11" s="77"/>
      <c r="I11" s="77"/>
      <c r="J11" s="78"/>
      <c r="K11" s="12" t="s">
        <v>519</v>
      </c>
      <c r="L11" s="12"/>
    </row>
    <row r="12" spans="2:12" ht="34.5" customHeight="1" x14ac:dyDescent="0.25">
      <c r="B12" s="21">
        <v>3</v>
      </c>
      <c r="C12" s="79" t="s">
        <v>274</v>
      </c>
      <c r="D12" s="80"/>
      <c r="E12" s="81"/>
      <c r="F12" s="79" t="s">
        <v>275</v>
      </c>
      <c r="G12" s="77"/>
      <c r="H12" s="77"/>
      <c r="I12" s="77"/>
      <c r="J12" s="78"/>
      <c r="K12" s="12" t="s">
        <v>519</v>
      </c>
      <c r="L12" s="12"/>
    </row>
    <row r="13" spans="2:12" ht="36.75" customHeight="1" x14ac:dyDescent="0.25">
      <c r="B13" s="21">
        <v>4</v>
      </c>
      <c r="C13" s="79" t="s">
        <v>276</v>
      </c>
      <c r="D13" s="80"/>
      <c r="E13" s="81"/>
      <c r="F13" s="79" t="s">
        <v>277</v>
      </c>
      <c r="G13" s="80"/>
      <c r="H13" s="80"/>
      <c r="I13" s="80"/>
      <c r="J13" s="81"/>
      <c r="K13" s="12" t="s">
        <v>519</v>
      </c>
      <c r="L13" s="12"/>
    </row>
    <row r="14" spans="2:12" ht="36" customHeight="1" x14ac:dyDescent="0.25">
      <c r="B14" s="21">
        <v>5</v>
      </c>
      <c r="C14" s="79" t="s">
        <v>278</v>
      </c>
      <c r="D14" s="80"/>
      <c r="E14" s="81"/>
      <c r="F14" s="79" t="s">
        <v>279</v>
      </c>
      <c r="G14" s="80"/>
      <c r="H14" s="80"/>
      <c r="I14" s="80"/>
      <c r="J14" s="81"/>
      <c r="K14" s="12" t="s">
        <v>519</v>
      </c>
      <c r="L14" s="12"/>
    </row>
    <row r="15" spans="2:12" ht="29.25" customHeight="1" x14ac:dyDescent="0.25">
      <c r="B15" s="21">
        <v>6</v>
      </c>
      <c r="C15" s="79" t="s">
        <v>501</v>
      </c>
      <c r="D15" s="80"/>
      <c r="E15" s="81"/>
      <c r="F15" s="79" t="s">
        <v>273</v>
      </c>
      <c r="G15" s="77"/>
      <c r="H15" s="77"/>
      <c r="I15" s="77"/>
      <c r="J15" s="78"/>
      <c r="K15" s="12" t="s">
        <v>519</v>
      </c>
      <c r="L15" s="12"/>
    </row>
    <row r="16" spans="2:12" ht="28.5" customHeight="1" x14ac:dyDescent="0.25">
      <c r="B16" s="21">
        <v>7</v>
      </c>
      <c r="C16" s="79" t="s">
        <v>280</v>
      </c>
      <c r="D16" s="80"/>
      <c r="E16" s="81"/>
      <c r="F16" s="79" t="s">
        <v>281</v>
      </c>
      <c r="G16" s="77"/>
      <c r="H16" s="77"/>
      <c r="I16" s="77"/>
      <c r="J16" s="78"/>
      <c r="K16" s="12" t="s">
        <v>519</v>
      </c>
      <c r="L16" s="12"/>
    </row>
    <row r="17" spans="2:15" ht="27" customHeight="1" x14ac:dyDescent="0.25">
      <c r="B17" s="21">
        <v>8</v>
      </c>
      <c r="C17" s="79" t="s">
        <v>276</v>
      </c>
      <c r="D17" s="80"/>
      <c r="E17" s="81"/>
      <c r="F17" s="79" t="s">
        <v>277</v>
      </c>
      <c r="G17" s="80"/>
      <c r="H17" s="80"/>
      <c r="I17" s="80"/>
      <c r="J17" s="81"/>
      <c r="K17" s="12" t="s">
        <v>519</v>
      </c>
      <c r="L17" s="12"/>
    </row>
    <row r="18" spans="2:15" x14ac:dyDescent="0.25">
      <c r="B18" s="21">
        <v>9</v>
      </c>
      <c r="C18" s="79" t="s">
        <v>278</v>
      </c>
      <c r="D18" s="80"/>
      <c r="E18" s="81"/>
      <c r="F18" s="79" t="s">
        <v>282</v>
      </c>
      <c r="G18" s="80"/>
      <c r="H18" s="80"/>
      <c r="I18" s="80"/>
      <c r="J18" s="81"/>
      <c r="K18" s="12" t="s">
        <v>519</v>
      </c>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8">
      <formula1>TestResult</formula1>
    </dataValidation>
  </dataValidations>
  <pageMargins left="0.7" right="0.7" top="0.75" bottom="0.75" header="0.3" footer="0.3"/>
  <pageSetup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3.4257812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283</v>
      </c>
      <c r="E4" s="25" t="s">
        <v>284</v>
      </c>
      <c r="F4" s="25" t="s">
        <v>16</v>
      </c>
      <c r="G4" s="25" t="s">
        <v>270</v>
      </c>
      <c r="H4" s="25" t="s">
        <v>62</v>
      </c>
      <c r="I4" s="25"/>
      <c r="J4" s="25" t="s">
        <v>62</v>
      </c>
      <c r="K4" s="37">
        <v>42155</v>
      </c>
    </row>
    <row r="5" spans="2:12" x14ac:dyDescent="0.25">
      <c r="C5" s="7" t="s">
        <v>517</v>
      </c>
      <c r="D5" s="82" t="s">
        <v>550</v>
      </c>
      <c r="E5" s="82"/>
      <c r="F5" s="82"/>
      <c r="G5" s="82"/>
      <c r="H5" s="82"/>
      <c r="I5" s="82"/>
      <c r="J5" s="82"/>
      <c r="K5" s="82"/>
    </row>
    <row r="6" spans="2:12" ht="15" customHeight="1" x14ac:dyDescent="0.25">
      <c r="C6" s="7" t="s">
        <v>467</v>
      </c>
      <c r="D6" s="12" t="s">
        <v>519</v>
      </c>
      <c r="E6" s="76" t="s">
        <v>609</v>
      </c>
      <c r="F6" s="77"/>
      <c r="G6" s="77"/>
      <c r="H6" s="77"/>
      <c r="I6" s="77"/>
      <c r="J6" s="77"/>
      <c r="K6" s="78"/>
    </row>
    <row r="7" spans="2:12" x14ac:dyDescent="0.25">
      <c r="C7" s="7" t="s">
        <v>9</v>
      </c>
      <c r="D7" s="82" t="s">
        <v>271</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25.5" customHeight="1" x14ac:dyDescent="0.25">
      <c r="B10" s="21">
        <v>1</v>
      </c>
      <c r="C10" s="79" t="s">
        <v>114</v>
      </c>
      <c r="D10" s="80"/>
      <c r="E10" s="81"/>
      <c r="F10" s="79" t="s">
        <v>141</v>
      </c>
      <c r="G10" s="77"/>
      <c r="H10" s="77"/>
      <c r="I10" s="77"/>
      <c r="J10" s="78"/>
      <c r="K10" s="12" t="s">
        <v>519</v>
      </c>
      <c r="L10" s="12"/>
    </row>
    <row r="11" spans="2:12" ht="24.75" customHeight="1" x14ac:dyDescent="0.25">
      <c r="B11" s="21">
        <v>2</v>
      </c>
      <c r="C11" s="79" t="s">
        <v>272</v>
      </c>
      <c r="D11" s="80"/>
      <c r="E11" s="81"/>
      <c r="F11" s="79" t="s">
        <v>273</v>
      </c>
      <c r="G11" s="77"/>
      <c r="H11" s="77"/>
      <c r="I11" s="77"/>
      <c r="J11" s="78"/>
      <c r="K11" s="12" t="s">
        <v>519</v>
      </c>
      <c r="L11" s="12"/>
    </row>
    <row r="12" spans="2:12" ht="21.75" customHeight="1" x14ac:dyDescent="0.25">
      <c r="B12" s="21">
        <v>3</v>
      </c>
      <c r="C12" s="79" t="s">
        <v>285</v>
      </c>
      <c r="D12" s="80"/>
      <c r="E12" s="81"/>
      <c r="F12" s="79" t="s">
        <v>104</v>
      </c>
      <c r="G12" s="77"/>
      <c r="H12" s="77"/>
      <c r="I12" s="77"/>
      <c r="J12" s="78"/>
      <c r="K12" s="12" t="s">
        <v>519</v>
      </c>
      <c r="L12" s="12"/>
    </row>
    <row r="13" spans="2:12" ht="51.75" customHeight="1" x14ac:dyDescent="0.25">
      <c r="B13" s="21">
        <v>4</v>
      </c>
      <c r="C13" s="79" t="s">
        <v>566</v>
      </c>
      <c r="D13" s="80"/>
      <c r="E13" s="81"/>
      <c r="F13" s="79" t="s">
        <v>104</v>
      </c>
      <c r="G13" s="80"/>
      <c r="H13" s="80"/>
      <c r="I13" s="80"/>
      <c r="J13" s="81"/>
      <c r="K13" s="12" t="s">
        <v>519</v>
      </c>
      <c r="L13" s="12"/>
    </row>
    <row r="14" spans="2:12" ht="36" customHeight="1" x14ac:dyDescent="0.25">
      <c r="B14" s="21">
        <v>5</v>
      </c>
      <c r="C14" s="79" t="s">
        <v>286</v>
      </c>
      <c r="D14" s="80"/>
      <c r="E14" s="81"/>
      <c r="F14" s="79" t="s">
        <v>502</v>
      </c>
      <c r="G14" s="77"/>
      <c r="H14" s="77"/>
      <c r="I14" s="77"/>
      <c r="J14" s="78"/>
      <c r="K14" s="12" t="s">
        <v>519</v>
      </c>
      <c r="L14" s="12"/>
    </row>
    <row r="15" spans="2:12" ht="29.25" customHeight="1" x14ac:dyDescent="0.25">
      <c r="B15" s="21">
        <v>6</v>
      </c>
      <c r="C15" s="79" t="s">
        <v>287</v>
      </c>
      <c r="D15" s="80"/>
      <c r="E15" s="81"/>
      <c r="F15" s="79" t="s">
        <v>288</v>
      </c>
      <c r="G15" s="77"/>
      <c r="H15" s="77"/>
      <c r="I15" s="77"/>
      <c r="J15" s="78"/>
      <c r="K15" s="12" t="s">
        <v>519</v>
      </c>
      <c r="L15" s="12"/>
    </row>
    <row r="16" spans="2:12" ht="65.25" customHeight="1" x14ac:dyDescent="0.25">
      <c r="B16" s="21">
        <v>7</v>
      </c>
      <c r="C16" s="79" t="s">
        <v>290</v>
      </c>
      <c r="D16" s="80"/>
      <c r="E16" s="81"/>
      <c r="F16" s="79" t="s">
        <v>289</v>
      </c>
      <c r="G16" s="77"/>
      <c r="H16" s="77"/>
      <c r="I16" s="77"/>
      <c r="J16" s="78"/>
      <c r="K16" s="12" t="s">
        <v>519</v>
      </c>
      <c r="L16" s="12"/>
    </row>
    <row r="17" spans="2:15" ht="43.5" customHeight="1" x14ac:dyDescent="0.25">
      <c r="B17" s="21">
        <v>8</v>
      </c>
      <c r="C17" s="79" t="s">
        <v>291</v>
      </c>
      <c r="D17" s="80"/>
      <c r="E17" s="81"/>
      <c r="F17" s="79" t="s">
        <v>292</v>
      </c>
      <c r="G17" s="77"/>
      <c r="H17" s="77"/>
      <c r="I17" s="77"/>
      <c r="J17" s="78"/>
      <c r="K17" s="12" t="s">
        <v>519</v>
      </c>
      <c r="L17" s="4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7">
      <formula1>TestResult</formula1>
    </dataValidation>
  </dataValidations>
  <pageMargins left="0.7" right="0.7" top="0.75" bottom="0.75" header="0.3" footer="0.3"/>
  <pageSetup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57</v>
      </c>
      <c r="E4" s="25" t="s">
        <v>56</v>
      </c>
      <c r="F4" s="25" t="s">
        <v>16</v>
      </c>
      <c r="G4" s="25" t="s">
        <v>56</v>
      </c>
      <c r="H4" s="25" t="s">
        <v>62</v>
      </c>
      <c r="I4" s="25"/>
      <c r="J4" s="25" t="s">
        <v>62</v>
      </c>
      <c r="K4" s="37">
        <v>42153</v>
      </c>
    </row>
    <row r="5" spans="2:12" x14ac:dyDescent="0.25">
      <c r="C5" s="7" t="s">
        <v>517</v>
      </c>
      <c r="D5" s="82" t="s">
        <v>565</v>
      </c>
      <c r="E5" s="82"/>
      <c r="F5" s="82"/>
      <c r="G5" s="82"/>
      <c r="H5" s="82"/>
      <c r="I5" s="82"/>
      <c r="J5" s="82"/>
      <c r="K5" s="82"/>
    </row>
    <row r="6" spans="2:12" ht="15" customHeight="1" x14ac:dyDescent="0.25">
      <c r="C6" s="7" t="s">
        <v>467</v>
      </c>
      <c r="D6" s="12" t="s">
        <v>519</v>
      </c>
      <c r="E6" s="76" t="s">
        <v>609</v>
      </c>
      <c r="F6" s="77"/>
      <c r="G6" s="77"/>
      <c r="H6" s="77"/>
      <c r="I6" s="77"/>
      <c r="J6" s="77"/>
      <c r="K6" s="78"/>
    </row>
    <row r="7" spans="2:12" x14ac:dyDescent="0.25">
      <c r="C7" s="7" t="s">
        <v>9</v>
      </c>
      <c r="D7" s="82" t="s">
        <v>204</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0" customHeight="1" x14ac:dyDescent="0.25">
      <c r="B10" s="21">
        <v>1</v>
      </c>
      <c r="C10" s="79" t="s">
        <v>293</v>
      </c>
      <c r="D10" s="80"/>
      <c r="E10" s="81"/>
      <c r="F10" s="79" t="s">
        <v>294</v>
      </c>
      <c r="G10" s="77"/>
      <c r="H10" s="77"/>
      <c r="I10" s="77"/>
      <c r="J10" s="78"/>
      <c r="K10" s="12" t="s">
        <v>519</v>
      </c>
      <c r="L10" s="12"/>
    </row>
    <row r="11" spans="2:12" ht="21.75" customHeight="1" x14ac:dyDescent="0.25">
      <c r="B11" s="21">
        <v>2</v>
      </c>
      <c r="C11" s="79" t="s">
        <v>295</v>
      </c>
      <c r="D11" s="80"/>
      <c r="E11" s="81"/>
      <c r="F11" s="79" t="s">
        <v>296</v>
      </c>
      <c r="G11" s="77"/>
      <c r="H11" s="77"/>
      <c r="I11" s="77"/>
      <c r="J11" s="78"/>
      <c r="K11" s="12" t="s">
        <v>519</v>
      </c>
      <c r="L11" s="12"/>
    </row>
    <row r="12" spans="2:12" ht="30.75" customHeight="1" x14ac:dyDescent="0.25">
      <c r="B12" s="21">
        <v>3</v>
      </c>
      <c r="C12" s="79" t="s">
        <v>297</v>
      </c>
      <c r="D12" s="80"/>
      <c r="E12" s="81"/>
      <c r="F12" s="79" t="s">
        <v>298</v>
      </c>
      <c r="G12" s="77"/>
      <c r="H12" s="77"/>
      <c r="I12" s="77"/>
      <c r="J12" s="78"/>
      <c r="K12" s="12" t="s">
        <v>519</v>
      </c>
      <c r="L12" s="12"/>
    </row>
    <row r="13" spans="2:12" ht="22.5" customHeight="1" x14ac:dyDescent="0.25">
      <c r="B13" s="21">
        <v>4</v>
      </c>
      <c r="C13" s="79" t="s">
        <v>299</v>
      </c>
      <c r="D13" s="80"/>
      <c r="E13" s="81"/>
      <c r="F13" s="79" t="s">
        <v>300</v>
      </c>
      <c r="G13" s="80"/>
      <c r="H13" s="80"/>
      <c r="I13" s="80"/>
      <c r="J13" s="81"/>
      <c r="K13" s="12" t="s">
        <v>519</v>
      </c>
      <c r="L13" s="12"/>
    </row>
    <row r="14" spans="2:12" ht="36" customHeight="1" x14ac:dyDescent="0.25">
      <c r="B14" s="21">
        <v>5</v>
      </c>
      <c r="C14" s="79" t="s">
        <v>301</v>
      </c>
      <c r="D14" s="80"/>
      <c r="E14" s="81"/>
      <c r="F14" s="79" t="s">
        <v>302</v>
      </c>
      <c r="G14" s="80"/>
      <c r="H14" s="80"/>
      <c r="I14" s="80"/>
      <c r="J14" s="81"/>
      <c r="K14" s="12" t="s">
        <v>519</v>
      </c>
      <c r="L14" s="12"/>
    </row>
    <row r="15" spans="2:12" ht="24" customHeight="1" x14ac:dyDescent="0.25">
      <c r="B15" s="21">
        <v>6</v>
      </c>
      <c r="C15" s="79" t="s">
        <v>304</v>
      </c>
      <c r="D15" s="80"/>
      <c r="E15" s="81"/>
      <c r="F15" s="79" t="s">
        <v>303</v>
      </c>
      <c r="G15" s="80"/>
      <c r="H15" s="80"/>
      <c r="I15" s="80"/>
      <c r="J15" s="81"/>
      <c r="K15" s="12" t="s">
        <v>519</v>
      </c>
      <c r="L15" s="42" t="s">
        <v>497</v>
      </c>
    </row>
    <row r="16" spans="2:12" ht="21" customHeight="1" x14ac:dyDescent="0.25">
      <c r="B16" s="21"/>
      <c r="C16" s="79"/>
      <c r="D16" s="80"/>
      <c r="E16" s="81"/>
      <c r="F16" s="79"/>
      <c r="G16" s="80"/>
      <c r="H16" s="80"/>
      <c r="I16" s="80"/>
      <c r="J16" s="81"/>
      <c r="K16" s="12"/>
      <c r="L16" s="12"/>
    </row>
    <row r="17" spans="2:15" ht="21"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39</v>
      </c>
      <c r="E4" s="25" t="s">
        <v>417</v>
      </c>
      <c r="F4" s="25" t="s">
        <v>16</v>
      </c>
      <c r="G4" s="25" t="s">
        <v>28</v>
      </c>
      <c r="H4" s="25" t="s">
        <v>62</v>
      </c>
      <c r="I4" s="25"/>
      <c r="J4" s="25" t="s">
        <v>62</v>
      </c>
      <c r="K4" s="37">
        <v>42155</v>
      </c>
    </row>
    <row r="5" spans="2:12" x14ac:dyDescent="0.25">
      <c r="C5" s="7" t="s">
        <v>517</v>
      </c>
      <c r="D5" s="82" t="s">
        <v>553</v>
      </c>
      <c r="E5" s="82"/>
      <c r="F5" s="82"/>
      <c r="G5" s="82"/>
      <c r="H5" s="82"/>
      <c r="I5" s="82"/>
      <c r="J5" s="82"/>
      <c r="K5" s="82"/>
    </row>
    <row r="6" spans="2:12" x14ac:dyDescent="0.25">
      <c r="C6" s="7" t="s">
        <v>467</v>
      </c>
      <c r="D6" s="12" t="s">
        <v>519</v>
      </c>
      <c r="E6" s="76" t="s">
        <v>609</v>
      </c>
      <c r="F6" s="77"/>
      <c r="G6" s="77"/>
      <c r="H6" s="77"/>
      <c r="I6" s="77"/>
      <c r="J6" s="77"/>
      <c r="K6" s="78"/>
    </row>
    <row r="7" spans="2:12" x14ac:dyDescent="0.25">
      <c r="C7" s="7" t="s">
        <v>9</v>
      </c>
      <c r="D7" s="82" t="s">
        <v>422</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60" customHeight="1" x14ac:dyDescent="0.25">
      <c r="B10" s="21">
        <v>1</v>
      </c>
      <c r="C10" s="79" t="s">
        <v>438</v>
      </c>
      <c r="D10" s="80"/>
      <c r="E10" s="81"/>
      <c r="F10" s="79" t="s">
        <v>418</v>
      </c>
      <c r="G10" s="77"/>
      <c r="H10" s="77"/>
      <c r="I10" s="77"/>
      <c r="J10" s="78"/>
      <c r="K10" s="12" t="s">
        <v>519</v>
      </c>
      <c r="L10" s="42" t="s">
        <v>423</v>
      </c>
    </row>
    <row r="11" spans="2:12" ht="78" customHeight="1" x14ac:dyDescent="0.25">
      <c r="B11" s="92" t="s">
        <v>555</v>
      </c>
      <c r="C11" s="93"/>
      <c r="D11" s="93"/>
      <c r="E11" s="93"/>
      <c r="F11" s="93"/>
      <c r="G11" s="93"/>
      <c r="H11" s="93"/>
      <c r="I11" s="93"/>
      <c r="J11" s="94"/>
      <c r="K11" s="12" t="s">
        <v>519</v>
      </c>
      <c r="L11" s="42" t="s">
        <v>431</v>
      </c>
    </row>
    <row r="12" spans="2:12" ht="30.75" customHeight="1" x14ac:dyDescent="0.25">
      <c r="B12" s="21">
        <v>2</v>
      </c>
      <c r="C12" s="79" t="s">
        <v>419</v>
      </c>
      <c r="D12" s="80"/>
      <c r="E12" s="81"/>
      <c r="F12" s="79" t="s">
        <v>420</v>
      </c>
      <c r="G12" s="77"/>
      <c r="H12" s="77"/>
      <c r="I12" s="77"/>
      <c r="J12" s="78"/>
      <c r="K12" s="12" t="s">
        <v>519</v>
      </c>
      <c r="L12" s="12"/>
    </row>
    <row r="13" spans="2:12" ht="39.75" customHeight="1" x14ac:dyDescent="0.25">
      <c r="B13" s="21">
        <v>3</v>
      </c>
      <c r="C13" s="79" t="s">
        <v>421</v>
      </c>
      <c r="D13" s="80"/>
      <c r="E13" s="81"/>
      <c r="F13" s="79" t="s">
        <v>601</v>
      </c>
      <c r="G13" s="77"/>
      <c r="H13" s="77"/>
      <c r="I13" s="77"/>
      <c r="J13" s="78"/>
      <c r="K13" s="12" t="s">
        <v>519</v>
      </c>
      <c r="L13" s="12"/>
    </row>
    <row r="14" spans="2:12" ht="36" customHeight="1" x14ac:dyDescent="0.25">
      <c r="B14" s="21">
        <v>4</v>
      </c>
      <c r="C14" s="79" t="s">
        <v>599</v>
      </c>
      <c r="D14" s="80"/>
      <c r="E14" s="81"/>
      <c r="F14" s="79" t="s">
        <v>600</v>
      </c>
      <c r="G14" s="77"/>
      <c r="H14" s="77"/>
      <c r="I14" s="77"/>
      <c r="J14" s="78"/>
      <c r="K14" s="12" t="s">
        <v>519</v>
      </c>
      <c r="L14" s="12"/>
    </row>
    <row r="15" spans="2:12" ht="24" customHeight="1" x14ac:dyDescent="0.25">
      <c r="B15" s="21"/>
      <c r="C15" s="79"/>
      <c r="D15" s="80"/>
      <c r="E15" s="81"/>
      <c r="F15" s="79"/>
      <c r="G15" s="80"/>
      <c r="H15" s="80"/>
      <c r="I15" s="80"/>
      <c r="J15" s="81"/>
      <c r="K15" s="12"/>
      <c r="L15" s="12"/>
    </row>
    <row r="16" spans="2:12" ht="21" customHeight="1" x14ac:dyDescent="0.25">
      <c r="B16" s="21"/>
      <c r="C16" s="79"/>
      <c r="D16" s="80"/>
      <c r="E16" s="81"/>
      <c r="F16" s="79"/>
      <c r="G16" s="80"/>
      <c r="H16" s="80"/>
      <c r="I16" s="80"/>
      <c r="J16" s="81"/>
      <c r="K16" s="12"/>
      <c r="L16" s="12"/>
    </row>
    <row r="17" spans="2:15" ht="21"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D5:K5"/>
    <mergeCell ref="D7:K7"/>
    <mergeCell ref="C9:E9"/>
    <mergeCell ref="F9:J9"/>
    <mergeCell ref="C10:E10"/>
    <mergeCell ref="F10:J10"/>
    <mergeCell ref="E6:K6"/>
    <mergeCell ref="C15:E15"/>
    <mergeCell ref="F15:J15"/>
    <mergeCell ref="C16:E16"/>
    <mergeCell ref="F16:J16"/>
    <mergeCell ref="C12:E12"/>
    <mergeCell ref="F12:J12"/>
    <mergeCell ref="C13:E13"/>
    <mergeCell ref="F13:J13"/>
    <mergeCell ref="D25:K25"/>
    <mergeCell ref="B11:J11"/>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54</v>
      </c>
      <c r="E4" s="25" t="s">
        <v>430</v>
      </c>
      <c r="F4" s="25" t="s">
        <v>16</v>
      </c>
      <c r="G4" s="25" t="s">
        <v>28</v>
      </c>
      <c r="H4" s="25" t="s">
        <v>62</v>
      </c>
      <c r="I4" s="25"/>
      <c r="J4" s="25" t="s">
        <v>62</v>
      </c>
      <c r="K4" s="37">
        <v>42155</v>
      </c>
    </row>
    <row r="5" spans="2:12" x14ac:dyDescent="0.25">
      <c r="C5" s="7" t="s">
        <v>517</v>
      </c>
      <c r="D5" s="82" t="s">
        <v>556</v>
      </c>
      <c r="E5" s="82"/>
      <c r="F5" s="82"/>
      <c r="G5" s="82"/>
      <c r="H5" s="82"/>
      <c r="I5" s="82"/>
      <c r="J5" s="82"/>
      <c r="K5" s="82"/>
    </row>
    <row r="6" spans="2:12" x14ac:dyDescent="0.25">
      <c r="C6" s="7" t="s">
        <v>467</v>
      </c>
      <c r="D6" s="12" t="s">
        <v>519</v>
      </c>
      <c r="E6" s="76" t="s">
        <v>609</v>
      </c>
      <c r="F6" s="77"/>
      <c r="G6" s="77"/>
      <c r="H6" s="77"/>
      <c r="I6" s="77"/>
      <c r="J6" s="77"/>
      <c r="K6" s="78"/>
    </row>
    <row r="7" spans="2:12" x14ac:dyDescent="0.25">
      <c r="C7" s="7" t="s">
        <v>9</v>
      </c>
      <c r="D7" s="82" t="s">
        <v>422</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69.75" customHeight="1" x14ac:dyDescent="0.25">
      <c r="B10" s="21">
        <v>1</v>
      </c>
      <c r="C10" s="79" t="s">
        <v>439</v>
      </c>
      <c r="D10" s="80"/>
      <c r="E10" s="81"/>
      <c r="F10" s="79" t="s">
        <v>432</v>
      </c>
      <c r="G10" s="77"/>
      <c r="H10" s="77"/>
      <c r="I10" s="77"/>
      <c r="J10" s="78"/>
      <c r="K10" s="12" t="s">
        <v>519</v>
      </c>
      <c r="L10" s="61" t="s">
        <v>423</v>
      </c>
    </row>
    <row r="11" spans="2:12" ht="78" customHeight="1" x14ac:dyDescent="0.25">
      <c r="B11" s="92" t="s">
        <v>554</v>
      </c>
      <c r="C11" s="93"/>
      <c r="D11" s="93"/>
      <c r="E11" s="93"/>
      <c r="F11" s="93"/>
      <c r="G11" s="93"/>
      <c r="H11" s="93"/>
      <c r="I11" s="93"/>
      <c r="J11" s="94"/>
      <c r="K11" s="12" t="s">
        <v>519</v>
      </c>
      <c r="L11" s="61" t="s">
        <v>431</v>
      </c>
    </row>
    <row r="12" spans="2:12" ht="30.75" customHeight="1" x14ac:dyDescent="0.25">
      <c r="B12" s="21">
        <v>2</v>
      </c>
      <c r="C12" s="79" t="s">
        <v>419</v>
      </c>
      <c r="D12" s="80"/>
      <c r="E12" s="81"/>
      <c r="F12" s="79" t="s">
        <v>433</v>
      </c>
      <c r="G12" s="77"/>
      <c r="H12" s="77"/>
      <c r="I12" s="77"/>
      <c r="J12" s="78"/>
      <c r="K12" s="12" t="s">
        <v>519</v>
      </c>
      <c r="L12" s="12"/>
    </row>
    <row r="13" spans="2:12" ht="42" customHeight="1" x14ac:dyDescent="0.25">
      <c r="B13" s="21">
        <v>3</v>
      </c>
      <c r="C13" s="79" t="s">
        <v>426</v>
      </c>
      <c r="D13" s="80"/>
      <c r="E13" s="81"/>
      <c r="F13" s="79" t="s">
        <v>434</v>
      </c>
      <c r="G13" s="77"/>
      <c r="H13" s="77"/>
      <c r="I13" s="77"/>
      <c r="J13" s="78"/>
      <c r="K13" s="12" t="s">
        <v>519</v>
      </c>
      <c r="L13" s="61" t="s">
        <v>428</v>
      </c>
    </row>
    <row r="14" spans="2:12" ht="36" customHeight="1" x14ac:dyDescent="0.25">
      <c r="B14" s="21">
        <v>4</v>
      </c>
      <c r="C14" s="79" t="s">
        <v>596</v>
      </c>
      <c r="D14" s="80"/>
      <c r="E14" s="81"/>
      <c r="F14" s="79" t="s">
        <v>597</v>
      </c>
      <c r="G14" s="77"/>
      <c r="H14" s="77"/>
      <c r="I14" s="77"/>
      <c r="J14" s="78"/>
      <c r="K14" s="12" t="s">
        <v>519</v>
      </c>
      <c r="L14" s="61" t="s">
        <v>598</v>
      </c>
    </row>
    <row r="15" spans="2:12" ht="24" customHeight="1" x14ac:dyDescent="0.25">
      <c r="B15" s="21"/>
      <c r="C15" s="79"/>
      <c r="D15" s="80"/>
      <c r="E15" s="81"/>
      <c r="F15" s="79"/>
      <c r="G15" s="80"/>
      <c r="H15" s="80"/>
      <c r="I15" s="80"/>
      <c r="J15" s="81"/>
      <c r="K15" s="12"/>
      <c r="L15" s="12"/>
    </row>
    <row r="16" spans="2:12" ht="21" customHeight="1" x14ac:dyDescent="0.25">
      <c r="B16" s="21"/>
      <c r="C16" s="79"/>
      <c r="D16" s="80"/>
      <c r="E16" s="81"/>
      <c r="F16" s="79"/>
      <c r="G16" s="80"/>
      <c r="H16" s="80"/>
      <c r="I16" s="80"/>
      <c r="J16" s="81"/>
      <c r="K16" s="12"/>
      <c r="L16" s="12"/>
    </row>
    <row r="17" spans="2:15" ht="21"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5:K25"/>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429</v>
      </c>
      <c r="E4" s="25" t="s">
        <v>435</v>
      </c>
      <c r="F4" s="25" t="s">
        <v>16</v>
      </c>
      <c r="G4" s="25" t="s">
        <v>28</v>
      </c>
      <c r="H4" s="25" t="s">
        <v>62</v>
      </c>
      <c r="I4" s="25"/>
      <c r="J4" s="25" t="s">
        <v>62</v>
      </c>
      <c r="K4" s="37">
        <v>42154</v>
      </c>
    </row>
    <row r="5" spans="2:12" ht="15" customHeight="1" x14ac:dyDescent="0.25">
      <c r="C5" s="7" t="s">
        <v>517</v>
      </c>
      <c r="D5" s="82" t="s">
        <v>557</v>
      </c>
      <c r="E5" s="82"/>
      <c r="F5" s="82"/>
      <c r="G5" s="82"/>
      <c r="H5" s="82"/>
      <c r="I5" s="82"/>
      <c r="J5" s="82"/>
      <c r="K5" s="82"/>
    </row>
    <row r="6" spans="2:12" x14ac:dyDescent="0.25">
      <c r="C6" s="7" t="s">
        <v>467</v>
      </c>
      <c r="D6" s="12" t="s">
        <v>519</v>
      </c>
      <c r="E6" s="76" t="s">
        <v>609</v>
      </c>
      <c r="F6" s="77"/>
      <c r="G6" s="77"/>
      <c r="H6" s="77"/>
      <c r="I6" s="77"/>
      <c r="J6" s="77"/>
      <c r="K6" s="78"/>
    </row>
    <row r="7" spans="2:12" x14ac:dyDescent="0.25">
      <c r="C7" s="7" t="s">
        <v>9</v>
      </c>
      <c r="D7" s="82" t="s">
        <v>422</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69.75" customHeight="1" x14ac:dyDescent="0.25">
      <c r="B10" s="21">
        <v>1</v>
      </c>
      <c r="C10" s="79" t="s">
        <v>438</v>
      </c>
      <c r="D10" s="80"/>
      <c r="E10" s="81"/>
      <c r="F10" s="79" t="s">
        <v>424</v>
      </c>
      <c r="G10" s="77"/>
      <c r="H10" s="77"/>
      <c r="I10" s="77"/>
      <c r="J10" s="78"/>
      <c r="K10" s="12" t="s">
        <v>519</v>
      </c>
      <c r="L10" s="42" t="s">
        <v>423</v>
      </c>
    </row>
    <row r="11" spans="2:12" ht="78" customHeight="1" x14ac:dyDescent="0.25">
      <c r="B11" s="92" t="s">
        <v>558</v>
      </c>
      <c r="C11" s="93"/>
      <c r="D11" s="93"/>
      <c r="E11" s="93"/>
      <c r="F11" s="93"/>
      <c r="G11" s="93"/>
      <c r="H11" s="93"/>
      <c r="I11" s="93"/>
      <c r="J11" s="94"/>
      <c r="K11" s="12" t="s">
        <v>519</v>
      </c>
      <c r="L11" s="42" t="s">
        <v>431</v>
      </c>
    </row>
    <row r="12" spans="2:12" ht="30.75" customHeight="1" x14ac:dyDescent="0.25">
      <c r="B12" s="21">
        <v>2</v>
      </c>
      <c r="C12" s="79" t="s">
        <v>419</v>
      </c>
      <c r="D12" s="80"/>
      <c r="E12" s="81"/>
      <c r="F12" s="79" t="s">
        <v>425</v>
      </c>
      <c r="G12" s="77"/>
      <c r="H12" s="77"/>
      <c r="I12" s="77"/>
      <c r="J12" s="78"/>
      <c r="K12" s="12" t="s">
        <v>519</v>
      </c>
      <c r="L12" s="42"/>
    </row>
    <row r="13" spans="2:12" ht="42" customHeight="1" x14ac:dyDescent="0.25">
      <c r="B13" s="21">
        <v>3</v>
      </c>
      <c r="C13" s="79" t="s">
        <v>426</v>
      </c>
      <c r="D13" s="80"/>
      <c r="E13" s="81"/>
      <c r="F13" s="79" t="s">
        <v>427</v>
      </c>
      <c r="G13" s="77"/>
      <c r="H13" s="77"/>
      <c r="I13" s="77"/>
      <c r="J13" s="78"/>
      <c r="K13" s="12" t="s">
        <v>519</v>
      </c>
      <c r="L13" s="42" t="s">
        <v>428</v>
      </c>
    </row>
    <row r="14" spans="2:12" ht="36" customHeight="1" x14ac:dyDescent="0.25">
      <c r="B14" s="21">
        <v>4</v>
      </c>
      <c r="C14" s="79" t="s">
        <v>602</v>
      </c>
      <c r="D14" s="80"/>
      <c r="E14" s="81"/>
      <c r="F14" s="79" t="s">
        <v>603</v>
      </c>
      <c r="G14" s="77"/>
      <c r="H14" s="77"/>
      <c r="I14" s="77"/>
      <c r="J14" s="78"/>
      <c r="K14" s="12" t="s">
        <v>519</v>
      </c>
      <c r="L14" s="61" t="s">
        <v>598</v>
      </c>
    </row>
    <row r="15" spans="2:12" ht="24" customHeight="1" x14ac:dyDescent="0.25">
      <c r="B15" s="21"/>
      <c r="C15" s="79"/>
      <c r="D15" s="80"/>
      <c r="E15" s="81"/>
      <c r="F15" s="79"/>
      <c r="G15" s="80"/>
      <c r="H15" s="80"/>
      <c r="I15" s="80"/>
      <c r="J15" s="81"/>
      <c r="K15" s="12"/>
      <c r="L15" s="12"/>
    </row>
    <row r="16" spans="2:12" ht="21" customHeight="1" x14ac:dyDescent="0.25">
      <c r="B16" s="21"/>
      <c r="C16" s="79"/>
      <c r="D16" s="80"/>
      <c r="E16" s="81"/>
      <c r="F16" s="79"/>
      <c r="G16" s="80"/>
      <c r="H16" s="80"/>
      <c r="I16" s="80"/>
      <c r="J16" s="81"/>
      <c r="K16" s="12"/>
      <c r="L16" s="12"/>
    </row>
    <row r="17" spans="2:15" ht="21"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5:K25"/>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436</v>
      </c>
      <c r="E4" s="25" t="s">
        <v>437</v>
      </c>
      <c r="F4" s="25" t="s">
        <v>16</v>
      </c>
      <c r="G4" s="25" t="s">
        <v>28</v>
      </c>
      <c r="H4" s="25" t="s">
        <v>62</v>
      </c>
      <c r="I4" s="25"/>
      <c r="J4" s="25" t="s">
        <v>62</v>
      </c>
      <c r="K4" s="37">
        <v>42154</v>
      </c>
    </row>
    <row r="5" spans="2:12" x14ac:dyDescent="0.25">
      <c r="C5" s="7" t="s">
        <v>517</v>
      </c>
      <c r="D5" s="82" t="s">
        <v>563</v>
      </c>
      <c r="E5" s="82"/>
      <c r="F5" s="82"/>
      <c r="G5" s="82"/>
      <c r="H5" s="82"/>
      <c r="I5" s="82"/>
      <c r="J5" s="82"/>
      <c r="K5" s="82"/>
    </row>
    <row r="6" spans="2:12" x14ac:dyDescent="0.25">
      <c r="C6" s="7" t="s">
        <v>467</v>
      </c>
      <c r="D6" s="12" t="s">
        <v>519</v>
      </c>
      <c r="E6" s="76" t="s">
        <v>609</v>
      </c>
      <c r="F6" s="77"/>
      <c r="G6" s="77"/>
      <c r="H6" s="77"/>
      <c r="I6" s="77"/>
      <c r="J6" s="77"/>
      <c r="K6" s="78"/>
    </row>
    <row r="7" spans="2:12" x14ac:dyDescent="0.25">
      <c r="C7" s="7" t="s">
        <v>9</v>
      </c>
      <c r="D7" s="82" t="s">
        <v>422</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60" customHeight="1" x14ac:dyDescent="0.25">
      <c r="B10" s="21">
        <v>1</v>
      </c>
      <c r="C10" s="79" t="s">
        <v>439</v>
      </c>
      <c r="D10" s="80"/>
      <c r="E10" s="81"/>
      <c r="F10" s="79" t="s">
        <v>440</v>
      </c>
      <c r="G10" s="77"/>
      <c r="H10" s="77"/>
      <c r="I10" s="77"/>
      <c r="J10" s="78"/>
      <c r="K10" s="12" t="s">
        <v>519</v>
      </c>
      <c r="L10" s="61" t="s">
        <v>423</v>
      </c>
    </row>
    <row r="11" spans="2:12" ht="78" customHeight="1" x14ac:dyDescent="0.25">
      <c r="B11" s="92" t="s">
        <v>498</v>
      </c>
      <c r="C11" s="93"/>
      <c r="D11" s="93"/>
      <c r="E11" s="93"/>
      <c r="F11" s="93"/>
      <c r="G11" s="93"/>
      <c r="H11" s="93"/>
      <c r="I11" s="93"/>
      <c r="J11" s="94"/>
      <c r="K11" s="12" t="s">
        <v>519</v>
      </c>
      <c r="L11" s="61" t="s">
        <v>431</v>
      </c>
    </row>
    <row r="12" spans="2:12" ht="30.75" customHeight="1" x14ac:dyDescent="0.25">
      <c r="B12" s="21">
        <v>2</v>
      </c>
      <c r="C12" s="79" t="s">
        <v>419</v>
      </c>
      <c r="D12" s="80"/>
      <c r="E12" s="81"/>
      <c r="F12" s="79" t="s">
        <v>441</v>
      </c>
      <c r="G12" s="77"/>
      <c r="H12" s="77"/>
      <c r="I12" s="77"/>
      <c r="J12" s="78"/>
      <c r="K12" s="12" t="s">
        <v>519</v>
      </c>
      <c r="L12" s="12"/>
    </row>
    <row r="13" spans="2:12" ht="22.5" customHeight="1" x14ac:dyDescent="0.25">
      <c r="B13" s="21"/>
      <c r="C13" s="79"/>
      <c r="D13" s="80"/>
      <c r="E13" s="81"/>
      <c r="F13" s="79"/>
      <c r="G13" s="77"/>
      <c r="H13" s="77"/>
      <c r="I13" s="77"/>
      <c r="J13" s="78"/>
      <c r="K13" s="12"/>
      <c r="L13" s="12"/>
    </row>
    <row r="14" spans="2:12" ht="36" customHeight="1" x14ac:dyDescent="0.25">
      <c r="B14" s="21"/>
      <c r="C14" s="79"/>
      <c r="D14" s="80"/>
      <c r="E14" s="81"/>
      <c r="F14" s="79"/>
      <c r="G14" s="80"/>
      <c r="H14" s="80"/>
      <c r="I14" s="80"/>
      <c r="J14" s="81"/>
      <c r="K14" s="12"/>
      <c r="L14" s="12"/>
    </row>
    <row r="15" spans="2:12" ht="24" customHeight="1" x14ac:dyDescent="0.25">
      <c r="B15" s="21"/>
      <c r="C15" s="79"/>
      <c r="D15" s="80"/>
      <c r="E15" s="81"/>
      <c r="F15" s="79"/>
      <c r="G15" s="80"/>
      <c r="H15" s="80"/>
      <c r="I15" s="80"/>
      <c r="J15" s="81"/>
      <c r="K15" s="12"/>
      <c r="L15" s="12"/>
    </row>
    <row r="16" spans="2:12" ht="21" customHeight="1" x14ac:dyDescent="0.25">
      <c r="B16" s="21"/>
      <c r="C16" s="79"/>
      <c r="D16" s="80"/>
      <c r="E16" s="81"/>
      <c r="F16" s="79"/>
      <c r="G16" s="80"/>
      <c r="H16" s="80"/>
      <c r="I16" s="80"/>
      <c r="J16" s="81"/>
      <c r="K16" s="12"/>
      <c r="L16" s="12"/>
    </row>
    <row r="17" spans="2:15" ht="21"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5:K25"/>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topLeftCell="A4"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375</v>
      </c>
      <c r="E4" s="25" t="s">
        <v>376</v>
      </c>
      <c r="F4" s="25" t="s">
        <v>16</v>
      </c>
      <c r="G4" s="25" t="s">
        <v>55</v>
      </c>
      <c r="H4" s="25" t="s">
        <v>62</v>
      </c>
      <c r="I4" s="25"/>
      <c r="J4" s="25" t="s">
        <v>62</v>
      </c>
      <c r="K4" s="37">
        <v>42094</v>
      </c>
    </row>
    <row r="5" spans="2:12" x14ac:dyDescent="0.25">
      <c r="C5" s="7" t="s">
        <v>517</v>
      </c>
      <c r="D5" s="82" t="s">
        <v>377</v>
      </c>
      <c r="E5" s="82"/>
      <c r="F5" s="82"/>
      <c r="G5" s="82"/>
      <c r="H5" s="82"/>
      <c r="I5" s="82"/>
      <c r="J5" s="82"/>
      <c r="K5" s="82"/>
    </row>
    <row r="6" spans="2:12" x14ac:dyDescent="0.25">
      <c r="C6" s="7" t="s">
        <v>467</v>
      </c>
      <c r="D6" s="12" t="s">
        <v>519</v>
      </c>
      <c r="E6" s="76" t="s">
        <v>608</v>
      </c>
      <c r="F6" s="77"/>
      <c r="G6" s="77"/>
      <c r="H6" s="77"/>
      <c r="I6" s="77"/>
      <c r="J6" s="77"/>
      <c r="K6" s="78"/>
    </row>
    <row r="7" spans="2:12" x14ac:dyDescent="0.25">
      <c r="C7" s="7" t="s">
        <v>9</v>
      </c>
      <c r="D7" s="82" t="s">
        <v>378</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0" customHeight="1" x14ac:dyDescent="0.25">
      <c r="B10" s="21">
        <v>1</v>
      </c>
      <c r="C10" s="79" t="s">
        <v>379</v>
      </c>
      <c r="D10" s="80"/>
      <c r="E10" s="81"/>
      <c r="F10" s="79" t="s">
        <v>380</v>
      </c>
      <c r="G10" s="77"/>
      <c r="H10" s="77"/>
      <c r="I10" s="77"/>
      <c r="J10" s="78"/>
      <c r="K10" s="12" t="s">
        <v>519</v>
      </c>
      <c r="L10" s="12"/>
    </row>
    <row r="11" spans="2:12" ht="36.75" customHeight="1" x14ac:dyDescent="0.25">
      <c r="B11" s="21">
        <v>2</v>
      </c>
      <c r="C11" s="79" t="s">
        <v>381</v>
      </c>
      <c r="D11" s="80"/>
      <c r="E11" s="81"/>
      <c r="F11" s="79" t="s">
        <v>315</v>
      </c>
      <c r="G11" s="77"/>
      <c r="H11" s="77"/>
      <c r="I11" s="77"/>
      <c r="J11" s="78"/>
      <c r="K11" s="12" t="s">
        <v>519</v>
      </c>
      <c r="L11" s="12"/>
    </row>
    <row r="12" spans="2:12" ht="30.75" customHeight="1" x14ac:dyDescent="0.25">
      <c r="B12" s="21">
        <v>3</v>
      </c>
      <c r="C12" s="79" t="s">
        <v>384</v>
      </c>
      <c r="D12" s="80"/>
      <c r="E12" s="81"/>
      <c r="F12" s="79" t="s">
        <v>385</v>
      </c>
      <c r="G12" s="77"/>
      <c r="H12" s="77"/>
      <c r="I12" s="77"/>
      <c r="J12" s="78"/>
      <c r="K12" s="12" t="s">
        <v>519</v>
      </c>
      <c r="L12" s="12"/>
    </row>
    <row r="13" spans="2:12" ht="28.5" customHeight="1" x14ac:dyDescent="0.25">
      <c r="B13" s="21">
        <v>4</v>
      </c>
      <c r="C13" s="79" t="s">
        <v>382</v>
      </c>
      <c r="D13" s="80"/>
      <c r="E13" s="81"/>
      <c r="F13" s="79" t="s">
        <v>383</v>
      </c>
      <c r="G13" s="77"/>
      <c r="H13" s="77"/>
      <c r="I13" s="77"/>
      <c r="J13" s="78"/>
      <c r="K13" s="12" t="s">
        <v>519</v>
      </c>
      <c r="L13" s="12"/>
    </row>
    <row r="14" spans="2:12" ht="36" customHeight="1" x14ac:dyDescent="0.25">
      <c r="B14" s="21">
        <v>5</v>
      </c>
      <c r="C14" s="79" t="s">
        <v>386</v>
      </c>
      <c r="D14" s="80"/>
      <c r="E14" s="81"/>
      <c r="F14" s="79" t="s">
        <v>387</v>
      </c>
      <c r="G14" s="80"/>
      <c r="H14" s="80"/>
      <c r="I14" s="80"/>
      <c r="J14" s="81"/>
      <c r="K14" s="12" t="s">
        <v>519</v>
      </c>
      <c r="L14" s="12"/>
    </row>
    <row r="15" spans="2:12" ht="39" customHeight="1" x14ac:dyDescent="0.25">
      <c r="B15" s="21">
        <v>6</v>
      </c>
      <c r="C15" s="79" t="s">
        <v>388</v>
      </c>
      <c r="D15" s="80"/>
      <c r="E15" s="81"/>
      <c r="F15" s="79" t="s">
        <v>389</v>
      </c>
      <c r="G15" s="80"/>
      <c r="H15" s="80"/>
      <c r="I15" s="80"/>
      <c r="J15" s="81"/>
      <c r="K15" s="12" t="s">
        <v>519</v>
      </c>
      <c r="L15" s="12"/>
    </row>
    <row r="16" spans="2:12" ht="36.75" customHeight="1" x14ac:dyDescent="0.25">
      <c r="B16" s="21">
        <v>7</v>
      </c>
      <c r="C16" s="79" t="s">
        <v>390</v>
      </c>
      <c r="D16" s="80"/>
      <c r="E16" s="81"/>
      <c r="F16" s="79" t="s">
        <v>391</v>
      </c>
      <c r="G16" s="80"/>
      <c r="H16" s="80"/>
      <c r="I16" s="80"/>
      <c r="J16" s="81"/>
      <c r="K16" s="12" t="s">
        <v>519</v>
      </c>
      <c r="L16" s="12"/>
    </row>
    <row r="17" spans="2:15" ht="48" customHeight="1" x14ac:dyDescent="0.25">
      <c r="B17" s="21">
        <v>8</v>
      </c>
      <c r="C17" s="79" t="s">
        <v>392</v>
      </c>
      <c r="D17" s="80"/>
      <c r="E17" s="81"/>
      <c r="F17" s="79" t="s">
        <v>393</v>
      </c>
      <c r="G17" s="80"/>
      <c r="H17" s="80"/>
      <c r="I17" s="80"/>
      <c r="J17" s="81"/>
      <c r="K17" s="12" t="s">
        <v>519</v>
      </c>
      <c r="L17" s="12"/>
    </row>
    <row r="18" spans="2:15" ht="33.75" customHeight="1" x14ac:dyDescent="0.25">
      <c r="B18" s="21">
        <v>9</v>
      </c>
      <c r="C18" s="79" t="s">
        <v>394</v>
      </c>
      <c r="D18" s="80"/>
      <c r="E18" s="81"/>
      <c r="F18" s="79" t="s">
        <v>395</v>
      </c>
      <c r="G18" s="80"/>
      <c r="H18" s="80"/>
      <c r="I18" s="80"/>
      <c r="J18" s="81"/>
      <c r="K18" s="12" t="s">
        <v>519</v>
      </c>
      <c r="L18" s="12"/>
    </row>
    <row r="19" spans="2:15" ht="48" customHeight="1" x14ac:dyDescent="0.25">
      <c r="B19" s="21">
        <v>10</v>
      </c>
      <c r="C19" s="79" t="s">
        <v>396</v>
      </c>
      <c r="D19" s="80"/>
      <c r="E19" s="81"/>
      <c r="F19" s="79" t="s">
        <v>397</v>
      </c>
      <c r="G19" s="80"/>
      <c r="H19" s="80"/>
      <c r="I19" s="80"/>
      <c r="J19" s="81"/>
      <c r="K19" s="12" t="s">
        <v>519</v>
      </c>
      <c r="L19" s="12"/>
    </row>
    <row r="20" spans="2:15" ht="38.25" customHeight="1" x14ac:dyDescent="0.25">
      <c r="B20" s="21">
        <v>11</v>
      </c>
      <c r="C20" s="79" t="s">
        <v>398</v>
      </c>
      <c r="D20" s="80"/>
      <c r="E20" s="81"/>
      <c r="F20" s="79" t="s">
        <v>399</v>
      </c>
      <c r="G20" s="80"/>
      <c r="H20" s="80"/>
      <c r="I20" s="80"/>
      <c r="J20" s="81"/>
      <c r="K20" s="12" t="s">
        <v>519</v>
      </c>
      <c r="L20" s="12"/>
    </row>
    <row r="21" spans="2:15" ht="35.25" customHeight="1" x14ac:dyDescent="0.25">
      <c r="B21" s="21">
        <v>12</v>
      </c>
      <c r="C21" s="79" t="s">
        <v>400</v>
      </c>
      <c r="D21" s="80"/>
      <c r="E21" s="81"/>
      <c r="F21" s="84" t="s">
        <v>401</v>
      </c>
      <c r="G21" s="80"/>
      <c r="H21" s="80"/>
      <c r="I21" s="80"/>
      <c r="J21" s="81"/>
      <c r="K21" s="12" t="s">
        <v>519</v>
      </c>
      <c r="L21" s="25"/>
    </row>
    <row r="22" spans="2:15" x14ac:dyDescent="0.25">
      <c r="B22" s="21">
        <v>13</v>
      </c>
      <c r="C22" s="76" t="s">
        <v>402</v>
      </c>
      <c r="D22" s="77"/>
      <c r="E22" s="78"/>
      <c r="F22" s="84" t="s">
        <v>403</v>
      </c>
      <c r="G22" s="80"/>
      <c r="H22" s="80"/>
      <c r="I22" s="80"/>
      <c r="J22" s="81"/>
      <c r="K22" s="12" t="s">
        <v>519</v>
      </c>
      <c r="L22" s="25"/>
    </row>
    <row r="23" spans="2:15" ht="31.5" customHeight="1" x14ac:dyDescent="0.25">
      <c r="B23" s="21">
        <v>14</v>
      </c>
      <c r="C23" s="79" t="s">
        <v>404</v>
      </c>
      <c r="D23" s="80"/>
      <c r="E23" s="81"/>
      <c r="F23" s="84" t="s">
        <v>405</v>
      </c>
      <c r="G23" s="80"/>
      <c r="H23" s="80"/>
      <c r="I23" s="80"/>
      <c r="J23" s="81"/>
      <c r="K23" s="12" t="s">
        <v>519</v>
      </c>
      <c r="L23" s="25"/>
    </row>
    <row r="24" spans="2:15" ht="56.25" customHeight="1" x14ac:dyDescent="0.25">
      <c r="B24" s="21">
        <v>15</v>
      </c>
      <c r="C24" s="79" t="s">
        <v>406</v>
      </c>
      <c r="D24" s="80"/>
      <c r="E24" s="81"/>
      <c r="F24" s="84" t="s">
        <v>407</v>
      </c>
      <c r="G24" s="80"/>
      <c r="H24" s="80"/>
      <c r="I24" s="80"/>
      <c r="J24" s="81"/>
      <c r="K24" s="12" t="s">
        <v>519</v>
      </c>
      <c r="L24" s="25"/>
    </row>
    <row r="25" spans="2:15" x14ac:dyDescent="0.25">
      <c r="B25" s="30"/>
      <c r="C25" s="29"/>
      <c r="D25" s="29"/>
      <c r="E25" s="29"/>
      <c r="F25" s="31"/>
      <c r="G25" s="31"/>
      <c r="H25" s="31"/>
      <c r="I25" s="31"/>
      <c r="J25" s="31"/>
      <c r="K25" s="29"/>
      <c r="L25" s="29"/>
    </row>
    <row r="28" spans="2:15" x14ac:dyDescent="0.25">
      <c r="C28" s="7" t="s">
        <v>15</v>
      </c>
      <c r="D28" s="82" t="s">
        <v>104</v>
      </c>
      <c r="E28" s="82"/>
      <c r="F28" s="82"/>
      <c r="G28" s="82"/>
      <c r="H28" s="82"/>
      <c r="I28" s="82"/>
      <c r="J28" s="82"/>
      <c r="K28" s="82"/>
    </row>
    <row r="31" spans="2:15" x14ac:dyDescent="0.25">
      <c r="L31" s="23"/>
      <c r="M31" s="23"/>
      <c r="N31" s="23"/>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sheetData>
  <mergeCells count="36">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8:K28"/>
    <mergeCell ref="C24:E24"/>
    <mergeCell ref="F24:J24"/>
    <mergeCell ref="C23:E23"/>
    <mergeCell ref="F23:J23"/>
  </mergeCells>
  <dataValidations count="1">
    <dataValidation type="list" allowBlank="1" showInputMessage="1" showErrorMessage="1" promptTitle="Choose Result" sqref="D6 K10:K24">
      <formula1>TestResult</formula1>
    </dataValidation>
  </dataValidations>
  <pageMargins left="0.7" right="0.7" top="0.75" bottom="0.75" header="0.3" footer="0.3"/>
  <pageSetup orientation="portrait"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9"/>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408</v>
      </c>
      <c r="E4" s="25" t="s">
        <v>409</v>
      </c>
      <c r="F4" s="25" t="s">
        <v>16</v>
      </c>
      <c r="G4" s="25" t="s">
        <v>55</v>
      </c>
      <c r="H4" s="25" t="s">
        <v>62</v>
      </c>
      <c r="I4" s="25"/>
      <c r="J4" s="25" t="s">
        <v>62</v>
      </c>
      <c r="K4" s="37">
        <v>42094</v>
      </c>
    </row>
    <row r="5" spans="2:12" x14ac:dyDescent="0.25">
      <c r="C5" s="7" t="s">
        <v>517</v>
      </c>
      <c r="D5" s="82" t="s">
        <v>410</v>
      </c>
      <c r="E5" s="82"/>
      <c r="F5" s="82"/>
      <c r="G5" s="82"/>
      <c r="H5" s="82"/>
      <c r="I5" s="82"/>
      <c r="J5" s="82"/>
      <c r="K5" s="82"/>
    </row>
    <row r="6" spans="2:12" x14ac:dyDescent="0.25">
      <c r="C6" s="7" t="s">
        <v>467</v>
      </c>
      <c r="D6" s="12" t="s">
        <v>519</v>
      </c>
      <c r="E6" s="76" t="s">
        <v>608</v>
      </c>
      <c r="F6" s="77"/>
      <c r="G6" s="77"/>
      <c r="H6" s="77"/>
      <c r="I6" s="77"/>
      <c r="J6" s="77"/>
      <c r="K6" s="78"/>
    </row>
    <row r="7" spans="2:12" x14ac:dyDescent="0.25">
      <c r="C7" s="7" t="s">
        <v>9</v>
      </c>
      <c r="D7" s="82" t="s">
        <v>378</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6.75" customHeight="1" x14ac:dyDescent="0.25">
      <c r="B10" s="21">
        <v>1</v>
      </c>
      <c r="C10" s="79" t="s">
        <v>390</v>
      </c>
      <c r="D10" s="80"/>
      <c r="E10" s="81"/>
      <c r="F10" s="79" t="s">
        <v>564</v>
      </c>
      <c r="G10" s="80"/>
      <c r="H10" s="80"/>
      <c r="I10" s="80"/>
      <c r="J10" s="81"/>
      <c r="K10" s="12" t="s">
        <v>519</v>
      </c>
      <c r="L10" s="12"/>
    </row>
    <row r="11" spans="2:12" ht="30" customHeight="1" x14ac:dyDescent="0.25">
      <c r="B11" s="21">
        <v>2</v>
      </c>
      <c r="C11" s="79" t="s">
        <v>411</v>
      </c>
      <c r="D11" s="80"/>
      <c r="E11" s="81"/>
      <c r="F11" s="79" t="s">
        <v>412</v>
      </c>
      <c r="G11" s="80"/>
      <c r="H11" s="80"/>
      <c r="I11" s="80"/>
      <c r="J11" s="81"/>
      <c r="K11" s="12" t="s">
        <v>519</v>
      </c>
      <c r="L11" s="12"/>
    </row>
    <row r="12" spans="2:12" ht="33.75" customHeight="1" x14ac:dyDescent="0.25">
      <c r="B12" s="21">
        <v>3</v>
      </c>
      <c r="C12" s="79" t="s">
        <v>394</v>
      </c>
      <c r="D12" s="80"/>
      <c r="E12" s="81"/>
      <c r="F12" s="79" t="s">
        <v>395</v>
      </c>
      <c r="G12" s="80"/>
      <c r="H12" s="80"/>
      <c r="I12" s="80"/>
      <c r="J12" s="81"/>
      <c r="K12" s="12" t="s">
        <v>519</v>
      </c>
      <c r="L12" s="12"/>
    </row>
    <row r="13" spans="2:12" ht="28.5" customHeight="1" x14ac:dyDescent="0.25">
      <c r="B13" s="21">
        <v>4</v>
      </c>
      <c r="C13" s="79" t="s">
        <v>413</v>
      </c>
      <c r="D13" s="80"/>
      <c r="E13" s="81"/>
      <c r="F13" s="79" t="s">
        <v>412</v>
      </c>
      <c r="G13" s="80"/>
      <c r="H13" s="80"/>
      <c r="I13" s="80"/>
      <c r="J13" s="81"/>
      <c r="K13" s="12" t="s">
        <v>519</v>
      </c>
      <c r="L13" s="12"/>
    </row>
    <row r="14" spans="2:12" ht="31.5" customHeight="1" x14ac:dyDescent="0.25">
      <c r="B14" s="21">
        <v>5</v>
      </c>
      <c r="C14" s="79" t="s">
        <v>404</v>
      </c>
      <c r="D14" s="80"/>
      <c r="E14" s="81"/>
      <c r="F14" s="84" t="s">
        <v>405</v>
      </c>
      <c r="G14" s="80"/>
      <c r="H14" s="80"/>
      <c r="I14" s="80"/>
      <c r="J14" s="81"/>
      <c r="K14" s="12" t="s">
        <v>519</v>
      </c>
      <c r="L14" s="25"/>
    </row>
    <row r="15" spans="2:12" ht="51.75" customHeight="1" x14ac:dyDescent="0.25">
      <c r="B15" s="21">
        <v>6</v>
      </c>
      <c r="C15" s="79" t="s">
        <v>414</v>
      </c>
      <c r="D15" s="80"/>
      <c r="E15" s="81"/>
      <c r="F15" s="79" t="s">
        <v>412</v>
      </c>
      <c r="G15" s="80"/>
      <c r="H15" s="80"/>
      <c r="I15" s="80"/>
      <c r="J15" s="81"/>
      <c r="K15" s="12" t="s">
        <v>519</v>
      </c>
      <c r="L15" s="25"/>
    </row>
    <row r="16" spans="2:12" ht="51.75" customHeight="1" x14ac:dyDescent="0.25">
      <c r="B16" s="21">
        <v>7</v>
      </c>
      <c r="C16" s="79" t="s">
        <v>415</v>
      </c>
      <c r="D16" s="80"/>
      <c r="E16" s="81"/>
      <c r="F16" s="79" t="s">
        <v>416</v>
      </c>
      <c r="G16" s="80"/>
      <c r="H16" s="80"/>
      <c r="I16" s="80"/>
      <c r="J16" s="81"/>
      <c r="K16" s="12" t="s">
        <v>519</v>
      </c>
      <c r="L16" s="25"/>
    </row>
    <row r="19" spans="3:15" x14ac:dyDescent="0.25">
      <c r="C19" s="7" t="s">
        <v>15</v>
      </c>
      <c r="D19" s="82" t="s">
        <v>104</v>
      </c>
      <c r="E19" s="82"/>
      <c r="F19" s="82"/>
      <c r="G19" s="82"/>
      <c r="H19" s="82"/>
      <c r="I19" s="82"/>
      <c r="J19" s="82"/>
      <c r="K19" s="82"/>
    </row>
    <row r="22" spans="3:15" x14ac:dyDescent="0.25">
      <c r="L22" s="23"/>
      <c r="M22" s="23"/>
      <c r="N22" s="23"/>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row r="29" spans="3:15" x14ac:dyDescent="0.2">
      <c r="L29" s="24"/>
      <c r="M29" s="24"/>
      <c r="N29" s="24"/>
      <c r="O29" s="24"/>
    </row>
  </sheetData>
  <mergeCells count="20">
    <mergeCell ref="C10:E10"/>
    <mergeCell ref="F10:J10"/>
    <mergeCell ref="D5:K5"/>
    <mergeCell ref="D7:K7"/>
    <mergeCell ref="C9:E9"/>
    <mergeCell ref="F9:J9"/>
    <mergeCell ref="E6:K6"/>
    <mergeCell ref="C11:E11"/>
    <mergeCell ref="F11:J11"/>
    <mergeCell ref="C12:E12"/>
    <mergeCell ref="F12:J12"/>
    <mergeCell ref="C13:E13"/>
    <mergeCell ref="F13:J13"/>
    <mergeCell ref="C14:E14"/>
    <mergeCell ref="F14:J14"/>
    <mergeCell ref="C15:E15"/>
    <mergeCell ref="F15:J15"/>
    <mergeCell ref="D19:K19"/>
    <mergeCell ref="C16:E16"/>
    <mergeCell ref="F16:J16"/>
  </mergeCells>
  <dataValidations count="1">
    <dataValidation type="list" allowBlank="1" showInputMessage="1" showErrorMessage="1" promptTitle="Choose Result" sqref="D6 K10:K16">
      <formula1>TestResult</formula1>
    </dataValidation>
  </dataValidations>
  <pageMargins left="0.7" right="0.7" top="0.75" bottom="0.75" header="0.3" footer="0.3"/>
  <pageSetup orientation="portrait"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9"/>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3"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59</v>
      </c>
      <c r="E4" s="25" t="s">
        <v>442</v>
      </c>
      <c r="F4" s="25" t="s">
        <v>16</v>
      </c>
      <c r="G4" s="25" t="s">
        <v>60</v>
      </c>
      <c r="H4" s="25" t="s">
        <v>62</v>
      </c>
      <c r="I4" s="25"/>
      <c r="J4" s="25" t="s">
        <v>62</v>
      </c>
      <c r="K4" s="37">
        <v>42087</v>
      </c>
    </row>
    <row r="5" spans="2:12" x14ac:dyDescent="0.25">
      <c r="C5" s="7" t="s">
        <v>517</v>
      </c>
      <c r="D5" s="82" t="s">
        <v>552</v>
      </c>
      <c r="E5" s="82"/>
      <c r="F5" s="82"/>
      <c r="G5" s="82"/>
      <c r="H5" s="82"/>
      <c r="I5" s="82"/>
      <c r="J5" s="82"/>
      <c r="K5" s="82"/>
    </row>
    <row r="6" spans="2:12" x14ac:dyDescent="0.25">
      <c r="C6" s="7" t="s">
        <v>467</v>
      </c>
      <c r="D6" s="12" t="s">
        <v>519</v>
      </c>
      <c r="E6" s="76" t="s">
        <v>608</v>
      </c>
      <c r="F6" s="77"/>
      <c r="G6" s="77"/>
      <c r="H6" s="77"/>
      <c r="I6" s="77"/>
      <c r="J6" s="77"/>
      <c r="K6" s="78"/>
    </row>
    <row r="7" spans="2:12" x14ac:dyDescent="0.25">
      <c r="C7" s="7" t="s">
        <v>9</v>
      </c>
      <c r="D7" s="82" t="s">
        <v>422</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6.75" customHeight="1" x14ac:dyDescent="0.25">
      <c r="B10" s="21">
        <v>1</v>
      </c>
      <c r="C10" s="79" t="s">
        <v>443</v>
      </c>
      <c r="D10" s="80"/>
      <c r="E10" s="81"/>
      <c r="F10" s="79" t="s">
        <v>444</v>
      </c>
      <c r="G10" s="80"/>
      <c r="H10" s="80"/>
      <c r="I10" s="80"/>
      <c r="J10" s="81"/>
      <c r="K10" s="12" t="s">
        <v>519</v>
      </c>
      <c r="L10" s="42" t="s">
        <v>453</v>
      </c>
    </row>
    <row r="11" spans="2:12" ht="30" customHeight="1" x14ac:dyDescent="0.25">
      <c r="B11" s="21">
        <v>2</v>
      </c>
      <c r="C11" s="79" t="s">
        <v>446</v>
      </c>
      <c r="D11" s="80"/>
      <c r="E11" s="81"/>
      <c r="F11" s="79" t="s">
        <v>447</v>
      </c>
      <c r="G11" s="80"/>
      <c r="H11" s="80"/>
      <c r="I11" s="80"/>
      <c r="J11" s="81"/>
      <c r="K11" s="12" t="s">
        <v>519</v>
      </c>
      <c r="L11" s="42" t="s">
        <v>445</v>
      </c>
    </row>
    <row r="12" spans="2:12" ht="33.75" customHeight="1" x14ac:dyDescent="0.25">
      <c r="B12" s="21">
        <v>3</v>
      </c>
      <c r="C12" s="79" t="s">
        <v>448</v>
      </c>
      <c r="D12" s="80"/>
      <c r="E12" s="81"/>
      <c r="F12" s="79" t="s">
        <v>449</v>
      </c>
      <c r="G12" s="80"/>
      <c r="H12" s="80"/>
      <c r="I12" s="80"/>
      <c r="J12" s="81"/>
      <c r="K12" s="12" t="s">
        <v>519</v>
      </c>
      <c r="L12" s="42" t="s">
        <v>454</v>
      </c>
    </row>
    <row r="13" spans="2:12" ht="50.25" customHeight="1" x14ac:dyDescent="0.25">
      <c r="B13" s="21">
        <v>4</v>
      </c>
      <c r="C13" s="79" t="s">
        <v>451</v>
      </c>
      <c r="D13" s="80"/>
      <c r="E13" s="81"/>
      <c r="F13" s="79" t="s">
        <v>452</v>
      </c>
      <c r="G13" s="80"/>
      <c r="H13" s="80"/>
      <c r="I13" s="80"/>
      <c r="J13" s="81"/>
      <c r="K13" s="12" t="s">
        <v>519</v>
      </c>
      <c r="L13" s="42" t="s">
        <v>450</v>
      </c>
    </row>
    <row r="14" spans="2:12" ht="31.5" customHeight="1" x14ac:dyDescent="0.25">
      <c r="B14" s="21"/>
      <c r="C14" s="79"/>
      <c r="D14" s="80"/>
      <c r="E14" s="81"/>
      <c r="F14" s="84"/>
      <c r="G14" s="80"/>
      <c r="H14" s="80"/>
      <c r="I14" s="80"/>
      <c r="J14" s="81"/>
      <c r="K14" s="25"/>
      <c r="L14" s="25"/>
    </row>
    <row r="15" spans="2:12" ht="51.75" customHeight="1" x14ac:dyDescent="0.25">
      <c r="B15" s="21"/>
      <c r="C15" s="79"/>
      <c r="D15" s="80"/>
      <c r="E15" s="81"/>
      <c r="F15" s="79"/>
      <c r="G15" s="80"/>
      <c r="H15" s="80"/>
      <c r="I15" s="80"/>
      <c r="J15" s="81"/>
      <c r="K15" s="25"/>
      <c r="L15" s="25"/>
    </row>
    <row r="16" spans="2:12" ht="51.75" customHeight="1" x14ac:dyDescent="0.25">
      <c r="B16" s="21"/>
      <c r="C16" s="79"/>
      <c r="D16" s="80"/>
      <c r="E16" s="81"/>
      <c r="F16" s="79"/>
      <c r="G16" s="80"/>
      <c r="H16" s="80"/>
      <c r="I16" s="80"/>
      <c r="J16" s="81"/>
      <c r="K16" s="25"/>
      <c r="L16" s="25"/>
    </row>
    <row r="19" spans="3:15" x14ac:dyDescent="0.25">
      <c r="C19" s="7" t="s">
        <v>15</v>
      </c>
      <c r="D19" s="82" t="s">
        <v>104</v>
      </c>
      <c r="E19" s="82"/>
      <c r="F19" s="82"/>
      <c r="G19" s="82"/>
      <c r="H19" s="82"/>
      <c r="I19" s="82"/>
      <c r="J19" s="82"/>
      <c r="K19" s="82"/>
    </row>
    <row r="22" spans="3:15" x14ac:dyDescent="0.25">
      <c r="L22" s="23"/>
      <c r="M22" s="23"/>
      <c r="N22" s="23"/>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row r="29" spans="3:15" x14ac:dyDescent="0.2">
      <c r="L29" s="24"/>
      <c r="M29" s="24"/>
      <c r="N29" s="24"/>
      <c r="O29" s="24"/>
    </row>
  </sheetData>
  <mergeCells count="20">
    <mergeCell ref="D5:K5"/>
    <mergeCell ref="D7:K7"/>
    <mergeCell ref="C9:E9"/>
    <mergeCell ref="F9:J9"/>
    <mergeCell ref="C10:E10"/>
    <mergeCell ref="F10:J10"/>
    <mergeCell ref="E6:K6"/>
    <mergeCell ref="C11:E11"/>
    <mergeCell ref="F11:J11"/>
    <mergeCell ref="C12:E12"/>
    <mergeCell ref="F12:J12"/>
    <mergeCell ref="C13:E13"/>
    <mergeCell ref="F13:J13"/>
    <mergeCell ref="D19:K19"/>
    <mergeCell ref="C14:E14"/>
    <mergeCell ref="F14:J14"/>
    <mergeCell ref="C15:E15"/>
    <mergeCell ref="F15:J15"/>
    <mergeCell ref="C16:E16"/>
    <mergeCell ref="F16:J1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8"/>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3"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455</v>
      </c>
      <c r="E4" s="25" t="s">
        <v>456</v>
      </c>
      <c r="F4" s="25" t="s">
        <v>16</v>
      </c>
      <c r="G4" s="25" t="s">
        <v>60</v>
      </c>
      <c r="H4" s="25" t="s">
        <v>62</v>
      </c>
      <c r="I4" s="25"/>
      <c r="J4" s="25" t="s">
        <v>62</v>
      </c>
      <c r="K4" s="37">
        <v>42095</v>
      </c>
    </row>
    <row r="5" spans="2:12" x14ac:dyDescent="0.25">
      <c r="C5" s="7" t="s">
        <v>517</v>
      </c>
      <c r="D5" s="82" t="s">
        <v>551</v>
      </c>
      <c r="E5" s="82"/>
      <c r="F5" s="82"/>
      <c r="G5" s="82"/>
      <c r="H5" s="82"/>
      <c r="I5" s="82"/>
      <c r="J5" s="82"/>
      <c r="K5" s="82"/>
    </row>
    <row r="6" spans="2:12" x14ac:dyDescent="0.25">
      <c r="C6" s="7" t="s">
        <v>467</v>
      </c>
      <c r="D6" s="12" t="s">
        <v>519</v>
      </c>
      <c r="E6" s="76" t="s">
        <v>608</v>
      </c>
      <c r="F6" s="77"/>
      <c r="G6" s="77"/>
      <c r="H6" s="77"/>
      <c r="I6" s="77"/>
      <c r="J6" s="77"/>
      <c r="K6" s="78"/>
    </row>
    <row r="7" spans="2:12" x14ac:dyDescent="0.25">
      <c r="C7" s="7" t="s">
        <v>9</v>
      </c>
      <c r="D7" s="82" t="s">
        <v>104</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6.75" customHeight="1" x14ac:dyDescent="0.25">
      <c r="B10" s="21">
        <v>1</v>
      </c>
      <c r="C10" s="79" t="s">
        <v>459</v>
      </c>
      <c r="D10" s="80"/>
      <c r="E10" s="81"/>
      <c r="F10" s="79" t="s">
        <v>457</v>
      </c>
      <c r="G10" s="80"/>
      <c r="H10" s="80"/>
      <c r="I10" s="80"/>
      <c r="J10" s="81"/>
      <c r="K10" s="12" t="s">
        <v>519</v>
      </c>
      <c r="L10" s="42" t="s">
        <v>458</v>
      </c>
    </row>
    <row r="11" spans="2:12" ht="36.75" customHeight="1" x14ac:dyDescent="0.25">
      <c r="B11" s="21">
        <v>2</v>
      </c>
      <c r="C11" s="79" t="s">
        <v>560</v>
      </c>
      <c r="D11" s="80"/>
      <c r="E11" s="81"/>
      <c r="F11" s="79" t="s">
        <v>559</v>
      </c>
      <c r="G11" s="80"/>
      <c r="H11" s="80"/>
      <c r="I11" s="80"/>
      <c r="J11" s="81"/>
      <c r="K11" s="12" t="s">
        <v>519</v>
      </c>
      <c r="L11" s="42"/>
    </row>
    <row r="12" spans="2:12" ht="50.25" customHeight="1" x14ac:dyDescent="0.25">
      <c r="B12" s="21">
        <v>3</v>
      </c>
      <c r="C12" s="79" t="s">
        <v>460</v>
      </c>
      <c r="D12" s="80"/>
      <c r="E12" s="81"/>
      <c r="F12" s="79" t="s">
        <v>461</v>
      </c>
      <c r="G12" s="80"/>
      <c r="H12" s="80"/>
      <c r="I12" s="80"/>
      <c r="J12" s="81"/>
      <c r="K12" s="12" t="s">
        <v>519</v>
      </c>
      <c r="L12" s="42" t="s">
        <v>462</v>
      </c>
    </row>
    <row r="13" spans="2:12" ht="31.5" customHeight="1" x14ac:dyDescent="0.25">
      <c r="B13" s="21"/>
      <c r="C13" s="79"/>
      <c r="D13" s="80"/>
      <c r="E13" s="81"/>
      <c r="F13" s="84"/>
      <c r="G13" s="80"/>
      <c r="H13" s="80"/>
      <c r="I13" s="80"/>
      <c r="J13" s="81"/>
      <c r="K13" s="25"/>
      <c r="L13" s="25"/>
    </row>
    <row r="14" spans="2:12" ht="51.75" customHeight="1" x14ac:dyDescent="0.25">
      <c r="B14" s="21"/>
      <c r="C14" s="79"/>
      <c r="D14" s="80"/>
      <c r="E14" s="81"/>
      <c r="F14" s="79"/>
      <c r="G14" s="80"/>
      <c r="H14" s="80"/>
      <c r="I14" s="80"/>
      <c r="J14" s="81"/>
      <c r="K14" s="25"/>
      <c r="L14" s="25"/>
    </row>
    <row r="15" spans="2:12" ht="51.75" customHeight="1" x14ac:dyDescent="0.25">
      <c r="B15" s="21"/>
      <c r="C15" s="79"/>
      <c r="D15" s="80"/>
      <c r="E15" s="81"/>
      <c r="F15" s="79"/>
      <c r="G15" s="80"/>
      <c r="H15" s="80"/>
      <c r="I15" s="80"/>
      <c r="J15" s="81"/>
      <c r="K15" s="25"/>
      <c r="L15" s="25"/>
    </row>
    <row r="18" spans="3:15" x14ac:dyDescent="0.25">
      <c r="C18" s="7" t="s">
        <v>15</v>
      </c>
      <c r="D18" s="82" t="s">
        <v>104</v>
      </c>
      <c r="E18" s="82"/>
      <c r="F18" s="82"/>
      <c r="G18" s="82"/>
      <c r="H18" s="82"/>
      <c r="I18" s="82"/>
      <c r="J18" s="82"/>
      <c r="K18" s="82"/>
    </row>
    <row r="21" spans="3:15" x14ac:dyDescent="0.25">
      <c r="L21" s="23"/>
      <c r="M21" s="23"/>
      <c r="N21" s="23"/>
      <c r="O21" s="24"/>
    </row>
    <row r="22" spans="3:15" x14ac:dyDescent="0.2">
      <c r="L22" s="24"/>
      <c r="M22" s="24"/>
      <c r="N22" s="24"/>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sheetData>
  <mergeCells count="18">
    <mergeCell ref="C12:E12"/>
    <mergeCell ref="F12:J12"/>
    <mergeCell ref="D5:K5"/>
    <mergeCell ref="D7:K7"/>
    <mergeCell ref="C9:E9"/>
    <mergeCell ref="F9:J9"/>
    <mergeCell ref="C10:E10"/>
    <mergeCell ref="F10:J10"/>
    <mergeCell ref="E6:K6"/>
    <mergeCell ref="C11:E11"/>
    <mergeCell ref="F11:J11"/>
    <mergeCell ref="D18:K18"/>
    <mergeCell ref="C13:E13"/>
    <mergeCell ref="F13:J13"/>
    <mergeCell ref="C14:E14"/>
    <mergeCell ref="F14:J14"/>
    <mergeCell ref="C15:E15"/>
    <mergeCell ref="F15:J15"/>
  </mergeCells>
  <dataValidations count="1">
    <dataValidation type="list" allowBlank="1" showInputMessage="1" showErrorMessage="1" promptTitle="Choose Result" sqref="D6 K10:K12">
      <formula1>TestResult</formula1>
    </dataValidation>
  </dataValidations>
  <pageMargins left="0.7" right="0.7" top="0.75" bottom="0.75" header="0.3" footer="0.3"/>
  <pageSetup orientation="portrait" verticalDpi="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tabSelected="1" workbookViewId="0">
      <selection activeCell="E28" sqref="E28"/>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612</v>
      </c>
      <c r="E4" s="2" t="s">
        <v>613</v>
      </c>
      <c r="F4" s="2" t="s">
        <v>16</v>
      </c>
      <c r="G4" s="2" t="s">
        <v>370</v>
      </c>
      <c r="H4" s="2" t="s">
        <v>62</v>
      </c>
      <c r="I4" s="2"/>
      <c r="J4" s="2" t="s">
        <v>62</v>
      </c>
      <c r="K4" s="40">
        <v>42154</v>
      </c>
    </row>
    <row r="5" spans="2:12" x14ac:dyDescent="0.25">
      <c r="C5" s="4" t="s">
        <v>517</v>
      </c>
      <c r="D5" s="85" t="s">
        <v>614</v>
      </c>
      <c r="E5" s="85"/>
      <c r="F5" s="85"/>
      <c r="G5" s="85"/>
      <c r="H5" s="85"/>
      <c r="I5" s="85"/>
      <c r="J5" s="85"/>
      <c r="K5" s="85"/>
    </row>
    <row r="6" spans="2:12" s="6" customFormat="1" x14ac:dyDescent="0.25">
      <c r="C6" s="7" t="s">
        <v>467</v>
      </c>
      <c r="D6" s="12" t="s">
        <v>519</v>
      </c>
      <c r="E6" s="76" t="s">
        <v>609</v>
      </c>
      <c r="F6" s="77"/>
      <c r="G6" s="77"/>
      <c r="H6" s="77"/>
      <c r="I6" s="77"/>
      <c r="J6" s="77"/>
      <c r="K6" s="78"/>
    </row>
    <row r="7" spans="2:12" x14ac:dyDescent="0.25">
      <c r="C7" s="4" t="s">
        <v>9</v>
      </c>
      <c r="D7" s="82" t="s">
        <v>373</v>
      </c>
      <c r="E7" s="82"/>
      <c r="F7" s="82"/>
      <c r="G7" s="82"/>
      <c r="H7" s="82"/>
      <c r="I7" s="82"/>
      <c r="J7" s="82"/>
      <c r="K7" s="82"/>
    </row>
    <row r="8" spans="2:12" x14ac:dyDescent="0.25">
      <c r="D8" s="62"/>
      <c r="E8" s="62"/>
      <c r="F8" s="62"/>
      <c r="G8" s="62"/>
      <c r="H8" s="62"/>
      <c r="I8" s="62"/>
      <c r="J8" s="62"/>
      <c r="K8" s="62"/>
    </row>
    <row r="9" spans="2:12" x14ac:dyDescent="0.25">
      <c r="B9" s="3" t="s">
        <v>10</v>
      </c>
      <c r="C9" s="86" t="s">
        <v>11</v>
      </c>
      <c r="D9" s="86"/>
      <c r="E9" s="86"/>
      <c r="F9" s="86" t="s">
        <v>12</v>
      </c>
      <c r="G9" s="86"/>
      <c r="H9" s="86"/>
      <c r="I9" s="86"/>
      <c r="J9" s="86"/>
      <c r="K9" s="3" t="s">
        <v>13</v>
      </c>
      <c r="L9" s="3" t="s">
        <v>14</v>
      </c>
    </row>
    <row r="10" spans="2:12" ht="26.25" customHeight="1" x14ac:dyDescent="0.25">
      <c r="B10" s="21">
        <v>1</v>
      </c>
      <c r="C10" s="79" t="s">
        <v>114</v>
      </c>
      <c r="D10" s="80"/>
      <c r="E10" s="81"/>
      <c r="F10" s="79" t="s">
        <v>151</v>
      </c>
      <c r="G10" s="77"/>
      <c r="H10" s="77"/>
      <c r="I10" s="77"/>
      <c r="J10" s="78"/>
      <c r="K10" s="12" t="s">
        <v>519</v>
      </c>
      <c r="L10" s="12"/>
    </row>
    <row r="11" spans="2:12" ht="26.25" customHeight="1" x14ac:dyDescent="0.25">
      <c r="B11" s="21">
        <v>2</v>
      </c>
      <c r="C11" s="79" t="s">
        <v>615</v>
      </c>
      <c r="D11" s="80"/>
      <c r="E11" s="81"/>
      <c r="F11" s="79" t="s">
        <v>616</v>
      </c>
      <c r="G11" s="77"/>
      <c r="H11" s="77"/>
      <c r="I11" s="77"/>
      <c r="J11" s="78"/>
      <c r="K11" s="12" t="s">
        <v>519</v>
      </c>
      <c r="L11" s="12"/>
    </row>
    <row r="12" spans="2:12" ht="25.5" customHeight="1" x14ac:dyDescent="0.25">
      <c r="B12" s="21">
        <v>3</v>
      </c>
      <c r="C12" s="79" t="s">
        <v>617</v>
      </c>
      <c r="D12" s="80"/>
      <c r="E12" s="81"/>
      <c r="F12" s="79" t="s">
        <v>618</v>
      </c>
      <c r="G12" s="77"/>
      <c r="H12" s="77"/>
      <c r="I12" s="77"/>
      <c r="J12" s="78"/>
      <c r="K12" s="12" t="s">
        <v>519</v>
      </c>
      <c r="L12" s="12"/>
    </row>
    <row r="13" spans="2:12" ht="54.75" customHeight="1" x14ac:dyDescent="0.25">
      <c r="B13" s="21">
        <v>4</v>
      </c>
      <c r="C13" s="79" t="s">
        <v>621</v>
      </c>
      <c r="D13" s="80"/>
      <c r="E13" s="81"/>
      <c r="F13" s="79" t="s">
        <v>619</v>
      </c>
      <c r="G13" s="77"/>
      <c r="H13" s="77"/>
      <c r="I13" s="77"/>
      <c r="J13" s="78"/>
      <c r="K13" s="12" t="s">
        <v>519</v>
      </c>
      <c r="L13" s="12"/>
    </row>
    <row r="14" spans="2:12" ht="27" customHeight="1" x14ac:dyDescent="0.25">
      <c r="B14" s="21">
        <v>5</v>
      </c>
      <c r="C14" s="79" t="s">
        <v>620</v>
      </c>
      <c r="D14" s="80"/>
      <c r="E14" s="81"/>
      <c r="F14" s="79" t="s">
        <v>622</v>
      </c>
      <c r="G14" s="80"/>
      <c r="H14" s="80"/>
      <c r="I14" s="80"/>
      <c r="J14" s="81"/>
      <c r="K14" s="12" t="s">
        <v>519</v>
      </c>
      <c r="L14" s="12"/>
    </row>
    <row r="15" spans="2:12" ht="30.75" customHeight="1" x14ac:dyDescent="0.25">
      <c r="B15" s="21">
        <v>6</v>
      </c>
      <c r="C15" s="79" t="s">
        <v>623</v>
      </c>
      <c r="D15" s="80"/>
      <c r="E15" s="81"/>
      <c r="F15" s="79" t="s">
        <v>624</v>
      </c>
      <c r="G15" s="80"/>
      <c r="H15" s="80"/>
      <c r="I15" s="80"/>
      <c r="J15" s="81"/>
      <c r="K15" s="12" t="s">
        <v>519</v>
      </c>
      <c r="L15" s="12"/>
    </row>
    <row r="16" spans="2:12" ht="15" customHeight="1" x14ac:dyDescent="0.25">
      <c r="B16" s="21"/>
      <c r="C16" s="79"/>
      <c r="D16" s="80"/>
      <c r="E16" s="81"/>
      <c r="F16" s="79"/>
      <c r="G16" s="80"/>
      <c r="H16" s="80"/>
      <c r="I16" s="80"/>
      <c r="J16" s="81"/>
      <c r="K16" s="12"/>
      <c r="L16" s="12"/>
    </row>
    <row r="17" spans="2:12" ht="15" customHeight="1" x14ac:dyDescent="0.25">
      <c r="B17" s="21"/>
      <c r="C17" s="79"/>
      <c r="D17" s="80"/>
      <c r="E17" s="81"/>
      <c r="F17" s="79"/>
      <c r="G17" s="80"/>
      <c r="H17" s="80"/>
      <c r="I17" s="80"/>
      <c r="J17" s="81"/>
      <c r="K17" s="12"/>
      <c r="L17" s="12"/>
    </row>
    <row r="18" spans="2:12" ht="15" customHeight="1" x14ac:dyDescent="0.25">
      <c r="B18" s="21"/>
      <c r="C18" s="79"/>
      <c r="D18" s="80"/>
      <c r="E18" s="81"/>
      <c r="F18" s="79"/>
      <c r="G18" s="80"/>
      <c r="H18" s="80"/>
      <c r="I18" s="80"/>
      <c r="J18" s="81"/>
      <c r="K18" s="12"/>
      <c r="L18" s="12"/>
    </row>
    <row r="19" spans="2:12" ht="15" customHeight="1" x14ac:dyDescent="0.25">
      <c r="B19" s="21"/>
      <c r="C19" s="79"/>
      <c r="D19" s="80"/>
      <c r="E19" s="81"/>
      <c r="F19" s="79"/>
      <c r="G19" s="80"/>
      <c r="H19" s="80"/>
      <c r="I19" s="80"/>
      <c r="J19" s="81"/>
      <c r="K19" s="12"/>
      <c r="L19" s="12"/>
    </row>
    <row r="20" spans="2:12" ht="15" customHeight="1" x14ac:dyDescent="0.25">
      <c r="B20" s="21"/>
      <c r="C20" s="79"/>
      <c r="D20" s="80"/>
      <c r="E20" s="81"/>
      <c r="F20" s="79"/>
      <c r="G20" s="80"/>
      <c r="H20" s="80"/>
      <c r="I20" s="80"/>
      <c r="J20" s="81"/>
      <c r="K20" s="12"/>
      <c r="L20" s="12"/>
    </row>
    <row r="21" spans="2:12" ht="15" customHeight="1" x14ac:dyDescent="0.25">
      <c r="B21" s="21"/>
      <c r="C21" s="79"/>
      <c r="D21" s="80"/>
      <c r="E21" s="81"/>
      <c r="F21" s="79"/>
      <c r="G21" s="80"/>
      <c r="H21" s="80"/>
      <c r="I21" s="80"/>
      <c r="J21" s="81"/>
      <c r="K21" s="12"/>
      <c r="L21" s="12"/>
    </row>
    <row r="22" spans="2:12" ht="69" customHeight="1" x14ac:dyDescent="0.25">
      <c r="B22" s="21"/>
      <c r="C22" s="79"/>
      <c r="D22" s="80"/>
      <c r="E22" s="81"/>
      <c r="F22" s="79"/>
      <c r="G22" s="77"/>
      <c r="H22" s="77"/>
      <c r="I22" s="77"/>
      <c r="J22" s="78"/>
      <c r="K22" s="63"/>
      <c r="L22" s="63"/>
    </row>
    <row r="23" spans="2:12" x14ac:dyDescent="0.25">
      <c r="B23" s="21"/>
      <c r="C23" s="76"/>
      <c r="D23" s="77"/>
      <c r="E23" s="78"/>
      <c r="F23" s="84"/>
      <c r="G23" s="80"/>
      <c r="H23" s="80"/>
      <c r="I23" s="80"/>
      <c r="J23" s="81"/>
      <c r="K23" s="12"/>
      <c r="L23" s="63"/>
    </row>
    <row r="26" spans="2:12" x14ac:dyDescent="0.25">
      <c r="C26" s="7" t="s">
        <v>15</v>
      </c>
      <c r="D26" s="82" t="s">
        <v>625</v>
      </c>
      <c r="E26" s="82"/>
      <c r="F26" s="82"/>
      <c r="G26" s="82"/>
      <c r="H26" s="82"/>
      <c r="I26" s="82"/>
      <c r="J26" s="82"/>
      <c r="K26" s="82"/>
    </row>
  </sheetData>
  <mergeCells count="34">
    <mergeCell ref="C23:E23"/>
    <mergeCell ref="F23:J23"/>
    <mergeCell ref="D26:K26"/>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E6:K6"/>
    <mergeCell ref="D7:K7"/>
    <mergeCell ref="C9:E9"/>
    <mergeCell ref="F9:J9"/>
    <mergeCell ref="C10:E10"/>
    <mergeCell ref="F10:J10"/>
  </mergeCells>
  <dataValidations count="1">
    <dataValidation type="list" allowBlank="1" showInputMessage="1" showErrorMessage="1" promptTitle="Choose Result" sqref="K23 D6 K10:K18">
      <formula1>TestResult</formula1>
    </dataValidation>
  </dataValidations>
  <pageMargins left="0.7" right="0.7" top="0.75" bottom="0.75" header="0.3" footer="0.3"/>
  <pageSetup orientation="portrait" verticalDpi="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372</v>
      </c>
      <c r="E4" s="2" t="s">
        <v>371</v>
      </c>
      <c r="F4" s="2" t="s">
        <v>16</v>
      </c>
      <c r="G4" s="2" t="s">
        <v>370</v>
      </c>
      <c r="H4" s="2" t="s">
        <v>62</v>
      </c>
      <c r="I4" s="2"/>
      <c r="J4" s="2" t="s">
        <v>62</v>
      </c>
      <c r="K4" s="40">
        <v>42154</v>
      </c>
    </row>
    <row r="5" spans="2:12" x14ac:dyDescent="0.25">
      <c r="C5" s="4" t="s">
        <v>517</v>
      </c>
      <c r="D5" s="85" t="s">
        <v>374</v>
      </c>
      <c r="E5" s="85"/>
      <c r="F5" s="85"/>
      <c r="G5" s="85"/>
      <c r="H5" s="85"/>
      <c r="I5" s="85"/>
      <c r="J5" s="85"/>
      <c r="K5" s="85"/>
    </row>
    <row r="6" spans="2:12" s="6" customFormat="1" x14ac:dyDescent="0.25">
      <c r="C6" s="7" t="s">
        <v>467</v>
      </c>
      <c r="D6" s="12" t="s">
        <v>519</v>
      </c>
      <c r="E6" s="76" t="s">
        <v>609</v>
      </c>
      <c r="F6" s="77"/>
      <c r="G6" s="77"/>
      <c r="H6" s="77"/>
      <c r="I6" s="77"/>
      <c r="J6" s="77"/>
      <c r="K6" s="78"/>
    </row>
    <row r="7" spans="2:12" x14ac:dyDescent="0.25">
      <c r="C7" s="4" t="s">
        <v>9</v>
      </c>
      <c r="D7" s="82" t="s">
        <v>373</v>
      </c>
      <c r="E7" s="82"/>
      <c r="F7" s="82"/>
      <c r="G7" s="82"/>
      <c r="H7" s="82"/>
      <c r="I7" s="82"/>
      <c r="J7" s="82"/>
      <c r="K7" s="82"/>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ht="26.25" customHeight="1" x14ac:dyDescent="0.25">
      <c r="B10" s="21">
        <v>1</v>
      </c>
      <c r="C10" s="79" t="s">
        <v>114</v>
      </c>
      <c r="D10" s="80"/>
      <c r="E10" s="81"/>
      <c r="F10" s="79" t="s">
        <v>151</v>
      </c>
      <c r="G10" s="77"/>
      <c r="H10" s="77"/>
      <c r="I10" s="77"/>
      <c r="J10" s="78"/>
      <c r="K10" s="12" t="s">
        <v>519</v>
      </c>
      <c r="L10" s="12"/>
    </row>
    <row r="11" spans="2:12" ht="26.25" customHeight="1" x14ac:dyDescent="0.25">
      <c r="B11" s="21">
        <v>2</v>
      </c>
      <c r="C11" s="79" t="s">
        <v>149</v>
      </c>
      <c r="D11" s="80"/>
      <c r="E11" s="81"/>
      <c r="F11" s="79" t="s">
        <v>150</v>
      </c>
      <c r="G11" s="77"/>
      <c r="H11" s="77"/>
      <c r="I11" s="77"/>
      <c r="J11" s="78"/>
      <c r="K11" s="12" t="s">
        <v>519</v>
      </c>
      <c r="L11" s="12"/>
    </row>
    <row r="12" spans="2:12" ht="60.75" customHeight="1" x14ac:dyDescent="0.25">
      <c r="B12" s="21">
        <v>3</v>
      </c>
      <c r="C12" s="79" t="s">
        <v>594</v>
      </c>
      <c r="D12" s="80"/>
      <c r="E12" s="81"/>
      <c r="F12" s="79" t="s">
        <v>160</v>
      </c>
      <c r="G12" s="77"/>
      <c r="H12" s="77"/>
      <c r="I12" s="77"/>
      <c r="J12" s="78"/>
      <c r="K12" s="12" t="s">
        <v>519</v>
      </c>
      <c r="L12" s="12"/>
    </row>
    <row r="13" spans="2:12" ht="64.5" customHeight="1" x14ac:dyDescent="0.25">
      <c r="B13" s="21">
        <v>4</v>
      </c>
      <c r="C13" s="79" t="s">
        <v>595</v>
      </c>
      <c r="D13" s="80"/>
      <c r="E13" s="81"/>
      <c r="F13" s="79" t="s">
        <v>160</v>
      </c>
      <c r="G13" s="77"/>
      <c r="H13" s="77"/>
      <c r="I13" s="77"/>
      <c r="J13" s="78"/>
      <c r="K13" s="12" t="s">
        <v>519</v>
      </c>
      <c r="L13" s="12"/>
    </row>
    <row r="14" spans="2:12" ht="29.25" customHeight="1" x14ac:dyDescent="0.25">
      <c r="B14" s="21"/>
      <c r="C14" s="79"/>
      <c r="D14" s="80"/>
      <c r="E14" s="81"/>
      <c r="F14" s="79"/>
      <c r="G14" s="80"/>
      <c r="H14" s="80"/>
      <c r="I14" s="80"/>
      <c r="J14" s="81"/>
      <c r="K14" s="12"/>
      <c r="L14" s="12"/>
    </row>
    <row r="15" spans="2:12" ht="15" customHeight="1" x14ac:dyDescent="0.25">
      <c r="B15" s="21"/>
      <c r="C15" s="79"/>
      <c r="D15" s="80"/>
      <c r="E15" s="81"/>
      <c r="F15" s="79"/>
      <c r="G15" s="80"/>
      <c r="H15" s="80"/>
      <c r="I15" s="80"/>
      <c r="J15" s="81"/>
      <c r="K15" s="12"/>
      <c r="L15" s="12"/>
    </row>
    <row r="16" spans="2:12" ht="15" customHeight="1" x14ac:dyDescent="0.25">
      <c r="B16" s="21"/>
      <c r="C16" s="79"/>
      <c r="D16" s="80"/>
      <c r="E16" s="81"/>
      <c r="F16" s="79"/>
      <c r="G16" s="80"/>
      <c r="H16" s="80"/>
      <c r="I16" s="80"/>
      <c r="J16" s="81"/>
      <c r="K16" s="12"/>
      <c r="L16" s="12"/>
    </row>
    <row r="17" spans="2:12" ht="15" customHeight="1" x14ac:dyDescent="0.25">
      <c r="B17" s="21"/>
      <c r="C17" s="79"/>
      <c r="D17" s="80"/>
      <c r="E17" s="81"/>
      <c r="F17" s="79"/>
      <c r="G17" s="80"/>
      <c r="H17" s="80"/>
      <c r="I17" s="80"/>
      <c r="J17" s="81"/>
      <c r="K17" s="12"/>
      <c r="L17" s="12"/>
    </row>
    <row r="18" spans="2:12" ht="15" customHeight="1" x14ac:dyDescent="0.25">
      <c r="B18" s="21"/>
      <c r="C18" s="79"/>
      <c r="D18" s="80"/>
      <c r="E18" s="81"/>
      <c r="F18" s="79"/>
      <c r="G18" s="80"/>
      <c r="H18" s="80"/>
      <c r="I18" s="80"/>
      <c r="J18" s="81"/>
      <c r="K18" s="12"/>
      <c r="L18" s="12"/>
    </row>
    <row r="19" spans="2:12" ht="15" customHeight="1" x14ac:dyDescent="0.25">
      <c r="B19" s="21"/>
      <c r="C19" s="79"/>
      <c r="D19" s="80"/>
      <c r="E19" s="81"/>
      <c r="F19" s="79"/>
      <c r="G19" s="80"/>
      <c r="H19" s="80"/>
      <c r="I19" s="80"/>
      <c r="J19" s="81"/>
      <c r="K19" s="12"/>
      <c r="L19" s="12"/>
    </row>
    <row r="20" spans="2:12" ht="15" customHeight="1" x14ac:dyDescent="0.25">
      <c r="B20" s="21"/>
      <c r="C20" s="79"/>
      <c r="D20" s="80"/>
      <c r="E20" s="81"/>
      <c r="F20" s="79"/>
      <c r="G20" s="80"/>
      <c r="H20" s="80"/>
      <c r="I20" s="80"/>
      <c r="J20" s="81"/>
      <c r="K20" s="12"/>
      <c r="L20" s="12"/>
    </row>
    <row r="21" spans="2:12" ht="15" customHeight="1" x14ac:dyDescent="0.25">
      <c r="B21" s="21"/>
      <c r="C21" s="79"/>
      <c r="D21" s="80"/>
      <c r="E21" s="81"/>
      <c r="F21" s="79"/>
      <c r="G21" s="80"/>
      <c r="H21" s="80"/>
      <c r="I21" s="80"/>
      <c r="J21" s="81"/>
      <c r="K21" s="12"/>
      <c r="L21" s="12"/>
    </row>
    <row r="22" spans="2:12" ht="69" customHeight="1" x14ac:dyDescent="0.25">
      <c r="B22" s="21"/>
      <c r="C22" s="79"/>
      <c r="D22" s="80"/>
      <c r="E22" s="81"/>
      <c r="F22" s="79"/>
      <c r="G22" s="77"/>
      <c r="H22" s="77"/>
      <c r="I22" s="77"/>
      <c r="J22" s="78"/>
      <c r="K22" s="25"/>
      <c r="L22" s="25"/>
    </row>
    <row r="23" spans="2:12" x14ac:dyDescent="0.25">
      <c r="B23" s="21"/>
      <c r="C23" s="76"/>
      <c r="D23" s="77"/>
      <c r="E23" s="78"/>
      <c r="F23" s="84"/>
      <c r="G23" s="80"/>
      <c r="H23" s="80"/>
      <c r="I23" s="80"/>
      <c r="J23" s="81"/>
      <c r="K23" s="12"/>
      <c r="L23" s="25"/>
    </row>
    <row r="26" spans="2:12" x14ac:dyDescent="0.25">
      <c r="C26" s="7" t="s">
        <v>15</v>
      </c>
      <c r="D26" s="82" t="s">
        <v>139</v>
      </c>
      <c r="E26" s="82"/>
      <c r="F26" s="82"/>
      <c r="G26" s="82"/>
      <c r="H26" s="82"/>
      <c r="I26" s="82"/>
      <c r="J26" s="82"/>
      <c r="K26" s="82"/>
    </row>
  </sheetData>
  <mergeCells count="34">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3:E23"/>
    <mergeCell ref="F23:J23"/>
    <mergeCell ref="D26:K26"/>
    <mergeCell ref="C20:E20"/>
    <mergeCell ref="F20:J20"/>
    <mergeCell ref="C21:E21"/>
    <mergeCell ref="F21:J21"/>
    <mergeCell ref="C22:E22"/>
    <mergeCell ref="F22:J22"/>
  </mergeCells>
  <dataValidations count="1">
    <dataValidation type="list" allowBlank="1" showInputMessage="1" showErrorMessage="1" promptTitle="Choose Result" sqref="K23 D6 K10:K18">
      <formula1>TestResult</formula1>
    </dataValidation>
  </dataValidations>
  <pageMargins left="0.7" right="0.7" top="0.75" bottom="0.75" header="0.3" footer="0.3"/>
  <pageSetup orientation="portrait" verticalDpi="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9"/>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479</v>
      </c>
      <c r="E4" s="2" t="s">
        <v>480</v>
      </c>
      <c r="F4" s="2" t="s">
        <v>16</v>
      </c>
      <c r="G4" s="2" t="s">
        <v>481</v>
      </c>
      <c r="H4" s="2" t="s">
        <v>62</v>
      </c>
      <c r="I4" s="2"/>
      <c r="J4" s="2" t="s">
        <v>62</v>
      </c>
      <c r="K4" s="40">
        <v>42089</v>
      </c>
    </row>
    <row r="5" spans="2:12" x14ac:dyDescent="0.25">
      <c r="C5" s="4" t="s">
        <v>517</v>
      </c>
      <c r="D5" s="85" t="s">
        <v>505</v>
      </c>
      <c r="E5" s="85"/>
      <c r="F5" s="85"/>
      <c r="G5" s="85"/>
      <c r="H5" s="85"/>
      <c r="I5" s="85"/>
      <c r="J5" s="85"/>
      <c r="K5" s="85"/>
    </row>
    <row r="6" spans="2:12" s="6" customFormat="1" x14ac:dyDescent="0.25">
      <c r="C6" s="7" t="s">
        <v>467</v>
      </c>
      <c r="D6" s="12" t="s">
        <v>519</v>
      </c>
      <c r="E6" s="76" t="s">
        <v>608</v>
      </c>
      <c r="F6" s="77"/>
      <c r="G6" s="77"/>
      <c r="H6" s="77"/>
      <c r="I6" s="77"/>
      <c r="J6" s="77"/>
      <c r="K6" s="78"/>
    </row>
    <row r="7" spans="2:12" x14ac:dyDescent="0.25">
      <c r="C7" s="4" t="s">
        <v>9</v>
      </c>
      <c r="D7" s="82"/>
      <c r="E7" s="82"/>
      <c r="F7" s="82"/>
      <c r="G7" s="82"/>
      <c r="H7" s="82"/>
      <c r="I7" s="82"/>
      <c r="J7" s="82"/>
      <c r="K7" s="82"/>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ht="95.25" customHeight="1" x14ac:dyDescent="0.25">
      <c r="B10" s="21">
        <v>1</v>
      </c>
      <c r="C10" s="79" t="s">
        <v>507</v>
      </c>
      <c r="D10" s="80"/>
      <c r="E10" s="81"/>
      <c r="F10" s="79" t="s">
        <v>104</v>
      </c>
      <c r="G10" s="77"/>
      <c r="H10" s="77"/>
      <c r="I10" s="77"/>
      <c r="J10" s="78"/>
      <c r="K10" s="12" t="s">
        <v>519</v>
      </c>
      <c r="L10" s="12"/>
    </row>
    <row r="11" spans="2:12" ht="41.25" customHeight="1" x14ac:dyDescent="0.25">
      <c r="B11" s="21">
        <v>2</v>
      </c>
      <c r="C11" s="79" t="s">
        <v>503</v>
      </c>
      <c r="D11" s="80"/>
      <c r="E11" s="81"/>
      <c r="F11" s="79" t="s">
        <v>504</v>
      </c>
      <c r="G11" s="77"/>
      <c r="H11" s="77"/>
      <c r="I11" s="77"/>
      <c r="J11" s="78"/>
      <c r="K11" s="12" t="s">
        <v>519</v>
      </c>
      <c r="L11" s="12"/>
    </row>
    <row r="12" spans="2:12" ht="64.5" customHeight="1" x14ac:dyDescent="0.25">
      <c r="B12" s="21"/>
      <c r="C12" s="79" t="s">
        <v>506</v>
      </c>
      <c r="D12" s="80"/>
      <c r="E12" s="81"/>
      <c r="F12" s="79" t="s">
        <v>104</v>
      </c>
      <c r="G12" s="77"/>
      <c r="H12" s="77"/>
      <c r="I12" s="77"/>
      <c r="J12" s="78"/>
      <c r="K12" s="12" t="s">
        <v>519</v>
      </c>
      <c r="L12" s="12"/>
    </row>
    <row r="13" spans="2:12" ht="41.25" customHeight="1" x14ac:dyDescent="0.25">
      <c r="B13" s="21">
        <v>2</v>
      </c>
      <c r="C13" s="79" t="s">
        <v>503</v>
      </c>
      <c r="D13" s="80"/>
      <c r="E13" s="81"/>
      <c r="F13" s="79" t="s">
        <v>508</v>
      </c>
      <c r="G13" s="77"/>
      <c r="H13" s="77"/>
      <c r="I13" s="77"/>
      <c r="J13" s="78"/>
      <c r="K13" s="12" t="s">
        <v>519</v>
      </c>
      <c r="L13" s="42" t="s">
        <v>515</v>
      </c>
    </row>
    <row r="14" spans="2:12" ht="87" customHeight="1" x14ac:dyDescent="0.25">
      <c r="B14" s="21"/>
      <c r="C14" s="79"/>
      <c r="D14" s="80"/>
      <c r="E14" s="81"/>
      <c r="F14" s="79"/>
      <c r="G14" s="77"/>
      <c r="H14" s="77"/>
      <c r="I14" s="77"/>
      <c r="J14" s="78"/>
      <c r="K14" s="12"/>
      <c r="L14" s="12"/>
    </row>
    <row r="15" spans="2:12" ht="60.75" customHeight="1" x14ac:dyDescent="0.25">
      <c r="B15" s="21"/>
      <c r="C15" s="79"/>
      <c r="D15" s="80"/>
      <c r="E15" s="81"/>
      <c r="F15" s="79"/>
      <c r="G15" s="77"/>
      <c r="H15" s="77"/>
      <c r="I15" s="77"/>
      <c r="J15" s="78"/>
      <c r="K15" s="12"/>
      <c r="L15" s="12"/>
    </row>
    <row r="16" spans="2:12" ht="64.5" customHeight="1" x14ac:dyDescent="0.25">
      <c r="B16" s="21"/>
      <c r="C16" s="79"/>
      <c r="D16" s="80"/>
      <c r="E16" s="81"/>
      <c r="F16" s="79"/>
      <c r="G16" s="77"/>
      <c r="H16" s="77"/>
      <c r="I16" s="77"/>
      <c r="J16" s="78"/>
      <c r="K16" s="12"/>
      <c r="L16" s="12"/>
    </row>
    <row r="17" spans="2:12" ht="29.25" customHeight="1" x14ac:dyDescent="0.25">
      <c r="B17" s="21"/>
      <c r="C17" s="79"/>
      <c r="D17" s="80"/>
      <c r="E17" s="81"/>
      <c r="F17" s="79"/>
      <c r="G17" s="80"/>
      <c r="H17" s="80"/>
      <c r="I17" s="80"/>
      <c r="J17" s="81"/>
      <c r="K17" s="12"/>
      <c r="L17" s="12"/>
    </row>
    <row r="18" spans="2:12" ht="15" customHeight="1" x14ac:dyDescent="0.25">
      <c r="B18" s="21"/>
      <c r="C18" s="79"/>
      <c r="D18" s="80"/>
      <c r="E18" s="81"/>
      <c r="F18" s="79"/>
      <c r="G18" s="80"/>
      <c r="H18" s="80"/>
      <c r="I18" s="80"/>
      <c r="J18" s="81"/>
      <c r="K18" s="12"/>
      <c r="L18" s="12"/>
    </row>
    <row r="19" spans="2:12" ht="15" customHeight="1" x14ac:dyDescent="0.25">
      <c r="B19" s="21"/>
      <c r="C19" s="79"/>
      <c r="D19" s="80"/>
      <c r="E19" s="81"/>
      <c r="F19" s="79"/>
      <c r="G19" s="80"/>
      <c r="H19" s="80"/>
      <c r="I19" s="80"/>
      <c r="J19" s="81"/>
      <c r="K19" s="12"/>
      <c r="L19" s="12"/>
    </row>
    <row r="20" spans="2:12" ht="15" customHeight="1" x14ac:dyDescent="0.25">
      <c r="B20" s="21"/>
      <c r="C20" s="79"/>
      <c r="D20" s="80"/>
      <c r="E20" s="81"/>
      <c r="F20" s="79"/>
      <c r="G20" s="80"/>
      <c r="H20" s="80"/>
      <c r="I20" s="80"/>
      <c r="J20" s="81"/>
      <c r="K20" s="12"/>
      <c r="L20" s="12"/>
    </row>
    <row r="21" spans="2:12" ht="15" customHeight="1" x14ac:dyDescent="0.25">
      <c r="B21" s="21"/>
      <c r="C21" s="79"/>
      <c r="D21" s="80"/>
      <c r="E21" s="81"/>
      <c r="F21" s="79"/>
      <c r="G21" s="80"/>
      <c r="H21" s="80"/>
      <c r="I21" s="80"/>
      <c r="J21" s="81"/>
      <c r="K21" s="12"/>
      <c r="L21" s="12"/>
    </row>
    <row r="22" spans="2:12" ht="15" customHeight="1" x14ac:dyDescent="0.25">
      <c r="B22" s="21"/>
      <c r="C22" s="79"/>
      <c r="D22" s="80"/>
      <c r="E22" s="81"/>
      <c r="F22" s="79"/>
      <c r="G22" s="80"/>
      <c r="H22" s="80"/>
      <c r="I22" s="80"/>
      <c r="J22" s="81"/>
      <c r="K22" s="12"/>
      <c r="L22" s="12"/>
    </row>
    <row r="23" spans="2:12" ht="15" customHeight="1" x14ac:dyDescent="0.25">
      <c r="B23" s="21"/>
      <c r="C23" s="79"/>
      <c r="D23" s="80"/>
      <c r="E23" s="81"/>
      <c r="F23" s="79"/>
      <c r="G23" s="80"/>
      <c r="H23" s="80"/>
      <c r="I23" s="80"/>
      <c r="J23" s="81"/>
      <c r="K23" s="12"/>
      <c r="L23" s="12"/>
    </row>
    <row r="24" spans="2:12" ht="15" customHeight="1" x14ac:dyDescent="0.25">
      <c r="B24" s="21"/>
      <c r="C24" s="79"/>
      <c r="D24" s="80"/>
      <c r="E24" s="81"/>
      <c r="F24" s="79"/>
      <c r="G24" s="80"/>
      <c r="H24" s="80"/>
      <c r="I24" s="80"/>
      <c r="J24" s="81"/>
      <c r="K24" s="12"/>
      <c r="L24" s="12"/>
    </row>
    <row r="25" spans="2:12" ht="69" customHeight="1" x14ac:dyDescent="0.25">
      <c r="B25" s="21"/>
      <c r="C25" s="79"/>
      <c r="D25" s="80"/>
      <c r="E25" s="81"/>
      <c r="F25" s="79"/>
      <c r="G25" s="77"/>
      <c r="H25" s="77"/>
      <c r="I25" s="77"/>
      <c r="J25" s="78"/>
      <c r="K25" s="38"/>
      <c r="L25" s="38"/>
    </row>
    <row r="26" spans="2:12" x14ac:dyDescent="0.25">
      <c r="B26" s="21"/>
      <c r="C26" s="76"/>
      <c r="D26" s="77"/>
      <c r="E26" s="78"/>
      <c r="F26" s="84"/>
      <c r="G26" s="80"/>
      <c r="H26" s="80"/>
      <c r="I26" s="80"/>
      <c r="J26" s="81"/>
      <c r="K26" s="12"/>
      <c r="L26" s="38"/>
    </row>
    <row r="29" spans="2:12" x14ac:dyDescent="0.25">
      <c r="C29" s="7" t="s">
        <v>15</v>
      </c>
      <c r="D29" s="82"/>
      <c r="E29" s="82"/>
      <c r="F29" s="82"/>
      <c r="G29" s="82"/>
      <c r="H29" s="82"/>
      <c r="I29" s="82"/>
      <c r="J29" s="82"/>
      <c r="K29" s="82"/>
    </row>
  </sheetData>
  <mergeCells count="40">
    <mergeCell ref="C26:E26"/>
    <mergeCell ref="F26:J26"/>
    <mergeCell ref="D29:K29"/>
    <mergeCell ref="C11:E11"/>
    <mergeCell ref="F11:J11"/>
    <mergeCell ref="C12:E12"/>
    <mergeCell ref="F12:J12"/>
    <mergeCell ref="C13:E13"/>
    <mergeCell ref="F13:J13"/>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0:E10"/>
    <mergeCell ref="F10:J10"/>
    <mergeCell ref="D5:K5"/>
    <mergeCell ref="E6:K6"/>
    <mergeCell ref="D7:K7"/>
    <mergeCell ref="C9:E9"/>
    <mergeCell ref="F9:J9"/>
  </mergeCells>
  <dataValidations count="1">
    <dataValidation type="list" allowBlank="1" showInputMessage="1" showErrorMessage="1" promptTitle="Choose Result" sqref="K26 D6 K10:K21">
      <formula1>TestResult</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4</vt:i4>
      </vt:variant>
    </vt:vector>
  </HeadingPairs>
  <TitlesOfParts>
    <vt:vector size="48" baseType="lpstr">
      <vt:lpstr>Cover Page</vt:lpstr>
      <vt:lpstr>Revision History</vt:lpstr>
      <vt:lpstr>Summary</vt:lpstr>
      <vt:lpstr>ACT-01</vt:lpstr>
      <vt:lpstr>ACT-02</vt:lpstr>
      <vt:lpstr>ACT-03</vt:lpstr>
      <vt:lpstr>ACT-04</vt:lpstr>
      <vt:lpstr>ACT-05</vt:lpstr>
      <vt:lpstr>ACT-06</vt:lpstr>
      <vt:lpstr>ACT-07</vt:lpstr>
      <vt:lpstr>ACT-08</vt:lpstr>
      <vt:lpstr>ACT-09</vt:lpstr>
      <vt:lpstr>ACT-10</vt:lpstr>
      <vt:lpstr>ACT-11</vt:lpstr>
      <vt:lpstr>ACT-12</vt:lpstr>
      <vt:lpstr>NTS-01</vt:lpstr>
      <vt:lpstr>NTS-02</vt:lpstr>
      <vt:lpstr>SFT-01</vt:lpstr>
      <vt:lpstr>LNK-01</vt:lpstr>
      <vt:lpstr>CAC-01</vt:lpstr>
      <vt:lpstr>CAC-02</vt:lpstr>
      <vt:lpstr>CAC-03</vt:lpstr>
      <vt:lpstr>REP-01</vt:lpstr>
      <vt:lpstr>REP-02</vt:lpstr>
      <vt:lpstr>REP-03</vt:lpstr>
      <vt:lpstr>REP-04</vt:lpstr>
      <vt:lpstr>ADM-01</vt:lpstr>
      <vt:lpstr>ADM-02</vt:lpstr>
      <vt:lpstr>ADM-03</vt:lpstr>
      <vt:lpstr>ADM-04</vt:lpstr>
      <vt:lpstr>PRF-01</vt:lpstr>
      <vt:lpstr>PRF-02</vt:lpstr>
      <vt:lpstr>HLP-01</vt:lpstr>
      <vt:lpstr>API-01</vt:lpstr>
      <vt:lpstr>API-02</vt:lpstr>
      <vt:lpstr>API-03</vt:lpstr>
      <vt:lpstr>API-04</vt:lpstr>
      <vt:lpstr>SEC-01</vt:lpstr>
      <vt:lpstr>SEC-02</vt:lpstr>
      <vt:lpstr>PER-01</vt:lpstr>
      <vt:lpstr>PER-02</vt:lpstr>
      <vt:lpstr>DEF-02</vt:lpstr>
      <vt:lpstr>DEF-01</vt:lpstr>
      <vt:lpstr>CNF-01</vt:lpstr>
      <vt:lpstr>'Revision History'!_Toc317087943</vt:lpstr>
      <vt:lpstr>'Revision History'!_Toc317087944</vt:lpstr>
      <vt:lpstr>'Revision History'!_Toc317087945</vt:lpstr>
      <vt:lpstr>TestResult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2015-09-10T13:14:42Z</dcterms:modified>
</cp:coreProperties>
</file>